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4a556a266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464defa75ac4d2e"/>
    <x:sheet xmlns:r="http://schemas.openxmlformats.org/officeDocument/2006/relationships" name="Model" sheetId="2" r:id="R50be89757a084c6e"/>
    <x:sheet xmlns:r="http://schemas.openxmlformats.org/officeDocument/2006/relationships" name="Summary" sheetId="3" r:id="Rb86270ae82df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₦#,##0"/>
    <x:numFmt numFmtId="201" formatCode="0"/>
    <x:numFmt numFmtId="202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444e5338a477a" /><Relationship Type="http://schemas.openxmlformats.org/officeDocument/2006/relationships/theme" Target="/xl/theme/theme1.xml" Id="Rbc44bdec0cec4fa4" /><Relationship Type="http://schemas.openxmlformats.org/officeDocument/2006/relationships/sharedStrings" Target="/xl/sharedStrings.xml" Id="R2c5430c4e9244832" /><Relationship Type="http://schemas.openxmlformats.org/officeDocument/2006/relationships/worksheet" Target="/xl/worksheets/sheet1.xml" Id="R1464defa75ac4d2e" /><Relationship Type="http://schemas.openxmlformats.org/officeDocument/2006/relationships/worksheet" Target="/xl/worksheets/sheet2.xml" Id="R50be89757a084c6e" /><Relationship Type="http://schemas.openxmlformats.org/officeDocument/2006/relationships/worksheet" Target="/xl/worksheets/sheet3.xml" Id="Rb86270ae82df46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</x:cols>
  <x:sheetData>
    <x:row r="1">
      <x:c r="A1" s="6" t="str">
        <x:v>Assumption</x:v>
      </x:c>
      <x:c r="B1" s="6" t="str">
        <x:v>Value</x:v>
      </x:c>
      <x:c r="C1" s="2"/>
      <x:c r="D1" s="2"/>
      <x:c r="E1" s="2"/>
      <x:c r="F1" s="2"/>
      <x:c r="G1" s="2"/>
      <x:c r="H1" s="2"/>
      <x:c r="I1" s="2"/>
      <x:c r="J1" s="2"/>
    </x:row>
    <x:row r="2">
      <x:c r="A2" s="2" t="str">
        <x:v>Starting paying merchants</x:v>
      </x:c>
      <x:c r="B2" s="2" t="n">
        <x:v>5</x:v>
      </x:c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Monthly new merchants</x:v>
      </x:c>
      <x:c r="B3" s="2" t="n">
        <x:v>8</x:v>
      </x:c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Monthly churn rate</x:v>
      </x:c>
      <x:c r="B4" s="2" t="n">
        <x:v>0.04</x:v>
      </x:c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Monthly subscription fee (NGN)</x:v>
      </x:c>
      <x:c r="B5" s="2" t="n">
        <x:v>12500</x:v>
      </x:c>
      <x:c r="C5" s="2"/>
      <x:c r="D5" s="2"/>
      <x:c r="E5" s="2"/>
      <x:c r="F5" s="2"/>
      <x:c r="G5" s="2"/>
      <x:c r="H5" s="2"/>
      <x:c r="I5" s="2"/>
      <x:c r="J5" s="2"/>
    </x:row>
    <x:row r="6">
      <x:c r="A6" s="2" t="str">
        <x:v>Variable cost per merchant per month (NGN)</x:v>
      </x:c>
      <x:c r="B6" s="2" t="n">
        <x:v>1500</x:v>
      </x:c>
      <x:c r="C6" s="2"/>
      <x:c r="D6" s="2"/>
      <x:c r="E6" s="2"/>
      <x:c r="F6" s="2"/>
      <x:c r="G6" s="2"/>
      <x:c r="H6" s="2"/>
      <x:c r="I6" s="2"/>
      <x:c r="J6" s="2"/>
    </x:row>
    <x:row r="7">
      <x:c r="A7" s="2" t="str">
        <x:v>Fixed monthly operating expense (NGN)</x:v>
      </x:c>
      <x:c r="B7" s="2" t="n">
        <x:v>1800000</x:v>
      </x:c>
      <x:c r="C7" s="2"/>
      <x:c r="D7" s="2"/>
      <x:c r="E7" s="2"/>
      <x:c r="F7" s="2"/>
      <x:c r="G7" s="2"/>
      <x:c r="H7" s="2"/>
      <x:c r="I7" s="2"/>
      <x:c r="J7" s="2"/>
    </x:row>
    <x:row r="8">
      <x:c r="A8" s="2" t="str">
        <x:v>Trial conversion rate</x:v>
      </x:c>
      <x:c r="B8" s="2" t="n">
        <x:v>0.6</x:v>
      </x:c>
      <x:c r="C8" s="2"/>
      <x:c r="D8" s="2"/>
      <x:c r="E8" s="2"/>
      <x:c r="F8" s="2"/>
      <x:c r="G8" s="2"/>
      <x:c r="H8" s="2"/>
      <x:c r="I8" s="2"/>
      <x:c r="J8" s="2"/>
    </x:row>
    <x:row r="9">
      <x:c r="A9" s="2" t="str">
        <x:v>Pilot merchants</x:v>
      </x:c>
      <x:c r="B9" s="2" t="n">
        <x:v>5</x:v>
      </x:c>
      <x:c r="C9" s="2"/>
      <x:c r="D9" s="2"/>
      <x:c r="E9" s="2"/>
      <x:c r="F9" s="2"/>
      <x:c r="G9" s="2"/>
      <x:c r="H9" s="2"/>
      <x:c r="I9" s="2"/>
      <x:c r="J9" s="2"/>
    </x:row>
    <x:row r="10">
      <x:c r="A10" s="2" t="str">
        <x:v>Pilot conversion rate</x:v>
      </x:c>
      <x:c r="B10" s="2" t="n">
        <x:v>0.8</x:v>
      </x:c>
      <x:c r="C10" s="2"/>
      <x:c r="D10" s="2"/>
      <x:c r="E10" s="2"/>
      <x:c r="F10" s="2"/>
      <x:c r="G10" s="2"/>
      <x:c r="H10" s="2"/>
      <x:c r="I10" s="2"/>
      <x:c r="J10" s="2"/>
    </x:row>
    <x:row r="11">
      <x:c r="A11" s="2" t="str">
        <x:v>Avg order value (NGN)</x:v>
      </x:c>
      <x:c r="B11" s="2" t="n">
        <x:v>50000</x:v>
      </x:c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6" t="str">
        <x:v>Month</x:v>
      </x:c>
      <x:c r="B1" s="6" t="str">
        <x:v>Paying Merchants</x:v>
      </x:c>
      <x:c r="C1" s="6" t="str">
        <x:v>New Merchants</x:v>
      </x:c>
      <x:c r="D1" s="6" t="str">
        <x:v>Churned Merchants</x:v>
      </x:c>
      <x:c r="E1" s="6" t="str">
        <x:v>MRR (NGN)</x:v>
      </x:c>
      <x:c r="F1" s="6" t="str">
        <x:v>Variable Costs</x:v>
      </x:c>
      <x:c r="G1" s="6" t="str">
        <x:v>Gross Profit</x:v>
      </x:c>
      <x:c r="H1" s="6" t="str">
        <x:v>Opex</x:v>
      </x:c>
      <x:c r="I1" s="6" t="str">
        <x:v>EBITDA</x:v>
      </x:c>
      <x:c r="J1" s="6" t="str">
        <x:v>Cumulative EBITDA</x:v>
      </x:c>
    </x:row>
    <x:row r="2">
      <x:c r="A2" s="2" t="str">
        <x:v>Month 1</x:v>
      </x:c>
      <x:c r="B2" s="2" t="n">
        <x:f>Inputs!B2</x:f>
        <x:v>5</x:v>
      </x:c>
      <x:c r="C2" s="2" t="n">
        <x:f>Inputs!B3</x:f>
        <x:v>8</x:v>
      </x:c>
      <x:c r="D2" s="2" t="n">
        <x:f>B2*Inputs!B4</x:f>
        <x:v>0.2</x:v>
      </x:c>
      <x:c r="E2" s="8" t="n">
        <x:f>B2*Inputs!B5</x:f>
        <x:v>62500</x:v>
      </x:c>
      <x:c r="F2" s="8" t="n">
        <x:f>B2*Inputs!B6</x:f>
        <x:v>7500</x:v>
      </x:c>
      <x:c r="G2" s="8" t="n">
        <x:f>E2-F2</x:f>
        <x:v>55000</x:v>
      </x:c>
      <x:c r="H2" s="8" t="n">
        <x:f>Inputs!B7+250000</x:f>
        <x:v>2050000</x:v>
      </x:c>
      <x:c r="I2" s="8" t="n">
        <x:f>G2-H2</x:f>
        <x:v>-1995000</x:v>
      </x:c>
      <x:c r="J2" s="8" t="n">
        <x:f>I2</x:f>
        <x:v>-1995000</x:v>
      </x:c>
    </x:row>
    <x:row r="3">
      <x:c r="A3" s="2" t="str">
        <x:v>Month 2</x:v>
      </x:c>
      <x:c r="B3" s="2" t="n">
        <x:f>B2+C3-D3</x:f>
        <x:v>13</x:v>
      </x:c>
      <x:c r="C3" s="2" t="n">
        <x:f>Inputs!B3</x:f>
        <x:v>8</x:v>
      </x:c>
      <x:c r="D3" s="2">
        <x:f>B3*Inputs!B4</x:f>
      </x:c>
      <x:c r="E3" s="8" t="n">
        <x:f>B3*Inputs!B5</x:f>
        <x:v>162500</x:v>
      </x:c>
      <x:c r="F3" s="8" t="n">
        <x:f>B3*Inputs!B6</x:f>
        <x:v>19500</x:v>
      </x:c>
      <x:c r="G3" s="8" t="n">
        <x:f>E3-F3</x:f>
        <x:v>143000</x:v>
      </x:c>
      <x:c r="H3" s="8" t="n">
        <x:f>Inputs!B7+250000</x:f>
        <x:v>2050000</x:v>
      </x:c>
      <x:c r="I3" s="8" t="n">
        <x:f>G3-H3</x:f>
        <x:v>-1907000</x:v>
      </x:c>
      <x:c r="J3" s="8" t="n">
        <x:f>J2+I3</x:f>
        <x:v>-3902000</x:v>
      </x:c>
    </x:row>
    <x:row r="4">
      <x:c r="A4" s="2" t="str">
        <x:v>Month 3</x:v>
      </x:c>
      <x:c r="B4" s="2" t="n">
        <x:f>B3+C4-D4</x:f>
        <x:v>21</x:v>
      </x:c>
      <x:c r="C4" s="2" t="n">
        <x:f>Inputs!B3</x:f>
        <x:v>8</x:v>
      </x:c>
      <x:c r="D4" s="2">
        <x:f>B4*Inputs!B4</x:f>
      </x:c>
      <x:c r="E4" s="8" t="n">
        <x:f>B4*Inputs!B5</x:f>
        <x:v>262500</x:v>
      </x:c>
      <x:c r="F4" s="8" t="n">
        <x:f>B4*Inputs!B6</x:f>
        <x:v>31500</x:v>
      </x:c>
      <x:c r="G4" s="8" t="n">
        <x:f>E4-F4</x:f>
        <x:v>231000</x:v>
      </x:c>
      <x:c r="H4" s="8" t="n">
        <x:f>Inputs!B7+250000</x:f>
        <x:v>2050000</x:v>
      </x:c>
      <x:c r="I4" s="8" t="n">
        <x:f>G4-H4</x:f>
        <x:v>-1819000</x:v>
      </x:c>
      <x:c r="J4" s="8" t="n">
        <x:f>J3+I4</x:f>
        <x:v>-5721000</x:v>
      </x:c>
    </x:row>
    <x:row r="5">
      <x:c r="A5" s="2" t="str">
        <x:v>Month 4</x:v>
      </x:c>
      <x:c r="B5" s="2" t="n">
        <x:f>B4+C5-D5</x:f>
        <x:v>29</x:v>
      </x:c>
      <x:c r="C5" s="2" t="n">
        <x:f>Inputs!B3</x:f>
        <x:v>8</x:v>
      </x:c>
      <x:c r="D5" s="2">
        <x:f>B5*Inputs!B4</x:f>
      </x:c>
      <x:c r="E5" s="8" t="n">
        <x:f>B5*Inputs!B5</x:f>
        <x:v>362500</x:v>
      </x:c>
      <x:c r="F5" s="8" t="n">
        <x:f>B5*Inputs!B6</x:f>
        <x:v>43500</x:v>
      </x:c>
      <x:c r="G5" s="8" t="n">
        <x:f>E5-F5</x:f>
        <x:v>319000</x:v>
      </x:c>
      <x:c r="H5" s="8" t="n">
        <x:f>Inputs!B7+250000</x:f>
        <x:v>2050000</x:v>
      </x:c>
      <x:c r="I5" s="8" t="n">
        <x:f>G5-H5</x:f>
        <x:v>-1731000</x:v>
      </x:c>
      <x:c r="J5" s="8" t="n">
        <x:f>J4+I5</x:f>
        <x:v>-7452000</x:v>
      </x:c>
    </x:row>
    <x:row r="6">
      <x:c r="A6" s="2" t="str">
        <x:v>Month 5</x:v>
      </x:c>
      <x:c r="B6" s="2" t="n">
        <x:f>B5+C6-D6</x:f>
        <x:v>37</x:v>
      </x:c>
      <x:c r="C6" s="2" t="n">
        <x:f>Inputs!B3</x:f>
        <x:v>8</x:v>
      </x:c>
      <x:c r="D6" s="2">
        <x:f>B6*Inputs!B4</x:f>
      </x:c>
      <x:c r="E6" s="8" t="n">
        <x:f>B6*Inputs!B5</x:f>
        <x:v>462500</x:v>
      </x:c>
      <x:c r="F6" s="8" t="n">
        <x:f>B6*Inputs!B6</x:f>
        <x:v>55500</x:v>
      </x:c>
      <x:c r="G6" s="8" t="n">
        <x:f>E6-F6</x:f>
        <x:v>407000</x:v>
      </x:c>
      <x:c r="H6" s="8" t="n">
        <x:f>Inputs!B7+250000</x:f>
        <x:v>2050000</x:v>
      </x:c>
      <x:c r="I6" s="8" t="n">
        <x:f>G6-H6</x:f>
        <x:v>-1643000</x:v>
      </x:c>
      <x:c r="J6" s="8" t="n">
        <x:f>J5+I6</x:f>
        <x:v>-9095000</x:v>
      </x:c>
    </x:row>
    <x:row r="7">
      <x:c r="A7" s="2" t="str">
        <x:v>Month 6</x:v>
      </x:c>
      <x:c r="B7" s="2" t="n">
        <x:f>B6+C7-D7</x:f>
        <x:v>45</x:v>
      </x:c>
      <x:c r="C7" s="2" t="n">
        <x:f>Inputs!B3</x:f>
        <x:v>8</x:v>
      </x:c>
      <x:c r="D7" s="2">
        <x:f>B7*Inputs!B4</x:f>
      </x:c>
      <x:c r="E7" s="8" t="n">
        <x:f>B7*Inputs!B5</x:f>
        <x:v>562500</x:v>
      </x:c>
      <x:c r="F7" s="8" t="n">
        <x:f>B7*Inputs!B6</x:f>
        <x:v>67500</x:v>
      </x:c>
      <x:c r="G7" s="8" t="n">
        <x:f>E7-F7</x:f>
        <x:v>495000</x:v>
      </x:c>
      <x:c r="H7" s="8" t="n">
        <x:f>Inputs!B7+250000</x:f>
        <x:v>2050000</x:v>
      </x:c>
      <x:c r="I7" s="8" t="n">
        <x:f>G7-H7</x:f>
        <x:v>-1555000</x:v>
      </x:c>
      <x:c r="J7" s="8" t="n">
        <x:f>J6+I7</x:f>
        <x:v>-10650000</x:v>
      </x:c>
    </x:row>
    <x:row r="8">
      <x:c r="A8" s="2" t="str">
        <x:v>Month 7</x:v>
      </x:c>
      <x:c r="B8" s="2" t="n">
        <x:f>B7+C8-D8</x:f>
        <x:v>53</x:v>
      </x:c>
      <x:c r="C8" s="2" t="n">
        <x:f>Inputs!B3</x:f>
        <x:v>8</x:v>
      </x:c>
      <x:c r="D8" s="2">
        <x:f>B8*Inputs!B4</x:f>
      </x:c>
      <x:c r="E8" s="8" t="n">
        <x:f>B8*Inputs!B5</x:f>
        <x:v>662500</x:v>
      </x:c>
      <x:c r="F8" s="8" t="n">
        <x:f>B8*Inputs!B6</x:f>
        <x:v>79500</x:v>
      </x:c>
      <x:c r="G8" s="8" t="n">
        <x:f>E8-F8</x:f>
        <x:v>583000</x:v>
      </x:c>
      <x:c r="H8" s="8" t="n">
        <x:f>Inputs!B7+250000</x:f>
        <x:v>2050000</x:v>
      </x:c>
      <x:c r="I8" s="8" t="n">
        <x:f>G8-H8</x:f>
        <x:v>-1467000</x:v>
      </x:c>
      <x:c r="J8" s="8" t="n">
        <x:f>J7+I8</x:f>
        <x:v>-12117000</x:v>
      </x:c>
    </x:row>
    <x:row r="9">
      <x:c r="A9" s="2" t="str">
        <x:v>Month 8</x:v>
      </x:c>
      <x:c r="B9" s="2" t="n">
        <x:f>B8+C9-D9</x:f>
        <x:v>61</x:v>
      </x:c>
      <x:c r="C9" s="2" t="n">
        <x:f>Inputs!B3</x:f>
        <x:v>8</x:v>
      </x:c>
      <x:c r="D9" s="2">
        <x:f>B9*Inputs!B4</x:f>
      </x:c>
      <x:c r="E9" s="8" t="n">
        <x:f>B9*Inputs!B5</x:f>
        <x:v>762500</x:v>
      </x:c>
      <x:c r="F9" s="8" t="n">
        <x:f>B9*Inputs!B6</x:f>
        <x:v>91500</x:v>
      </x:c>
      <x:c r="G9" s="8" t="n">
        <x:f>E9-F9</x:f>
        <x:v>671000</x:v>
      </x:c>
      <x:c r="H9" s="8" t="n">
        <x:f>Inputs!B7+250000</x:f>
        <x:v>2050000</x:v>
      </x:c>
      <x:c r="I9" s="8" t="n">
        <x:f>G9-H9</x:f>
        <x:v>-1379000</x:v>
      </x:c>
      <x:c r="J9" s="8" t="n">
        <x:f>J8+I9</x:f>
        <x:v>-13496000</x:v>
      </x:c>
    </x:row>
    <x:row r="10">
      <x:c r="A10" s="2" t="str">
        <x:v>Month 9</x:v>
      </x:c>
      <x:c r="B10" s="2" t="n">
        <x:f>B9+C10-D10</x:f>
        <x:v>69</x:v>
      </x:c>
      <x:c r="C10" s="2" t="n">
        <x:f>Inputs!B3</x:f>
        <x:v>8</x:v>
      </x:c>
      <x:c r="D10" s="2">
        <x:f>B10*Inputs!B4</x:f>
      </x:c>
      <x:c r="E10" s="8" t="n">
        <x:f>B10*Inputs!B5</x:f>
        <x:v>862500</x:v>
      </x:c>
      <x:c r="F10" s="8" t="n">
        <x:f>B10*Inputs!B6</x:f>
        <x:v>103500</x:v>
      </x:c>
      <x:c r="G10" s="8" t="n">
        <x:f>E10-F10</x:f>
        <x:v>759000</x:v>
      </x:c>
      <x:c r="H10" s="8" t="n">
        <x:f>Inputs!B7+250000</x:f>
        <x:v>2050000</x:v>
      </x:c>
      <x:c r="I10" s="8" t="n">
        <x:f>G10-H10</x:f>
        <x:v>-1291000</x:v>
      </x:c>
      <x:c r="J10" s="8" t="n">
        <x:f>J9+I10</x:f>
        <x:v>-14787000</x:v>
      </x:c>
    </x:row>
    <x:row r="11">
      <x:c r="A11" s="2" t="str">
        <x:v>Month 10</x:v>
      </x:c>
      <x:c r="B11" s="2" t="n">
        <x:f>B10+C11-D11</x:f>
        <x:v>77</x:v>
      </x:c>
      <x:c r="C11" s="2" t="n">
        <x:f>Inputs!B3</x:f>
        <x:v>8</x:v>
      </x:c>
      <x:c r="D11" s="2">
        <x:f>B11*Inputs!B4</x:f>
      </x:c>
      <x:c r="E11" s="8" t="n">
        <x:f>B11*Inputs!B5</x:f>
        <x:v>962500</x:v>
      </x:c>
      <x:c r="F11" s="8" t="n">
        <x:f>B11*Inputs!B6</x:f>
        <x:v>115500</x:v>
      </x:c>
      <x:c r="G11" s="8" t="n">
        <x:f>E11-F11</x:f>
        <x:v>847000</x:v>
      </x:c>
      <x:c r="H11" s="8" t="n">
        <x:f>Inputs!B7+250000</x:f>
        <x:v>2050000</x:v>
      </x:c>
      <x:c r="I11" s="8" t="n">
        <x:f>G11-H11</x:f>
        <x:v>-1203000</x:v>
      </x:c>
      <x:c r="J11" s="8" t="n">
        <x:f>J10+I11</x:f>
        <x:v>-15990000</x:v>
      </x:c>
    </x:row>
    <x:row r="12">
      <x:c r="A12" s="2" t="str">
        <x:v>Month 11</x:v>
      </x:c>
      <x:c r="B12" s="2" t="n">
        <x:f>B11+C12-D12</x:f>
        <x:v>85</x:v>
      </x:c>
      <x:c r="C12" s="2" t="n">
        <x:f>Inputs!B3</x:f>
        <x:v>8</x:v>
      </x:c>
      <x:c r="D12" s="2">
        <x:f>B12*Inputs!B4</x:f>
      </x:c>
      <x:c r="E12" s="8" t="n">
        <x:f>B12*Inputs!B5</x:f>
        <x:v>1062500</x:v>
      </x:c>
      <x:c r="F12" s="8" t="n">
        <x:f>B12*Inputs!B6</x:f>
        <x:v>127500</x:v>
      </x:c>
      <x:c r="G12" s="8" t="n">
        <x:f>E12-F12</x:f>
        <x:v>935000</x:v>
      </x:c>
      <x:c r="H12" s="8" t="n">
        <x:f>Inputs!B7+250000</x:f>
        <x:v>2050000</x:v>
      </x:c>
      <x:c r="I12" s="8" t="n">
        <x:f>G12-H12</x:f>
        <x:v>-1115000</x:v>
      </x:c>
      <x:c r="J12" s="8" t="n">
        <x:f>J11+I12</x:f>
        <x:v>-17105000</x:v>
      </x:c>
    </x:row>
    <x:row r="13">
      <x:c r="A13" s="2" t="str">
        <x:v>Month 12</x:v>
      </x:c>
      <x:c r="B13" s="2" t="n">
        <x:f>B12+C13-D13</x:f>
        <x:v>93</x:v>
      </x:c>
      <x:c r="C13" s="2" t="n">
        <x:f>Inputs!B3</x:f>
        <x:v>8</x:v>
      </x:c>
      <x:c r="D13" s="2">
        <x:f>B13*Inputs!B4</x:f>
      </x:c>
      <x:c r="E13" s="8" t="n">
        <x:f>B13*Inputs!B5</x:f>
        <x:v>1162500</x:v>
      </x:c>
      <x:c r="F13" s="8" t="n">
        <x:f>B13*Inputs!B6</x:f>
        <x:v>139500</x:v>
      </x:c>
      <x:c r="G13" s="8" t="n">
        <x:f>E13-F13</x:f>
        <x:v>1023000</x:v>
      </x:c>
      <x:c r="H13" s="8" t="n">
        <x:f>Inputs!B7+250000</x:f>
        <x:v>2050000</x:v>
      </x:c>
      <x:c r="I13" s="8" t="n">
        <x:f>G13-H13</x:f>
        <x:v>-1027000</x:v>
      </x:c>
      <x:c r="J13" s="8" t="n">
        <x:f>J12+I13</x:f>
        <x:v>-18132000</x:v>
      </x:c>
    </x:row>
    <x:row r="14">
      <x:c r="A14" s="2" t="str">
        <x:v>Month 13</x:v>
      </x:c>
      <x:c r="B14" s="2" t="n">
        <x:f>B13+C14-D14</x:f>
        <x:v>101</x:v>
      </x:c>
      <x:c r="C14" s="2" t="n">
        <x:f>Inputs!B3</x:f>
        <x:v>8</x:v>
      </x:c>
      <x:c r="D14" s="2">
        <x:f>B14*Inputs!B4</x:f>
      </x:c>
      <x:c r="E14" s="8" t="n">
        <x:f>B14*Inputs!B5</x:f>
        <x:v>1262500</x:v>
      </x:c>
      <x:c r="F14" s="8" t="n">
        <x:f>B14*Inputs!B6</x:f>
        <x:v>151500</x:v>
      </x:c>
      <x:c r="G14" s="8" t="n">
        <x:f>E14-F14</x:f>
        <x:v>1111000</x:v>
      </x:c>
      <x:c r="H14" s="8" t="n">
        <x:f>Inputs!B7+250000</x:f>
        <x:v>2050000</x:v>
      </x:c>
      <x:c r="I14" s="8" t="n">
        <x:f>G14-H14</x:f>
        <x:v>-939000</x:v>
      </x:c>
      <x:c r="J14" s="8" t="n">
        <x:f>J13+I14</x:f>
        <x:v>-19071000</x:v>
      </x:c>
    </x:row>
    <x:row r="15">
      <x:c r="A15" s="2" t="str">
        <x:v>Month 14</x:v>
      </x:c>
      <x:c r="B15" s="2" t="n">
        <x:f>B14+C15-D15</x:f>
        <x:v>109</x:v>
      </x:c>
      <x:c r="C15" s="2" t="n">
        <x:f>Inputs!B3</x:f>
        <x:v>8</x:v>
      </x:c>
      <x:c r="D15" s="2">
        <x:f>B15*Inputs!B4</x:f>
      </x:c>
      <x:c r="E15" s="8" t="n">
        <x:f>B15*Inputs!B5</x:f>
        <x:v>1362500</x:v>
      </x:c>
      <x:c r="F15" s="8" t="n">
        <x:f>B15*Inputs!B6</x:f>
        <x:v>163500</x:v>
      </x:c>
      <x:c r="G15" s="8" t="n">
        <x:f>E15-F15</x:f>
        <x:v>1199000</x:v>
      </x:c>
      <x:c r="H15" s="8" t="n">
        <x:f>Inputs!B7+250000</x:f>
        <x:v>2050000</x:v>
      </x:c>
      <x:c r="I15" s="8" t="n">
        <x:f>G15-H15</x:f>
        <x:v>-851000</x:v>
      </x:c>
      <x:c r="J15" s="8" t="n">
        <x:f>J14+I15</x:f>
        <x:v>-19922000</x:v>
      </x:c>
    </x:row>
    <x:row r="16">
      <x:c r="A16" s="2" t="str">
        <x:v>Month 15</x:v>
      </x:c>
      <x:c r="B16" s="2" t="n">
        <x:f>B15+C16-D16</x:f>
        <x:v>117</x:v>
      </x:c>
      <x:c r="C16" s="2" t="n">
        <x:f>Inputs!B3</x:f>
        <x:v>8</x:v>
      </x:c>
      <x:c r="D16" s="2">
        <x:f>B16*Inputs!B4</x:f>
      </x:c>
      <x:c r="E16" s="8" t="n">
        <x:f>B16*Inputs!B5</x:f>
        <x:v>1462500</x:v>
      </x:c>
      <x:c r="F16" s="8" t="n">
        <x:f>B16*Inputs!B6</x:f>
        <x:v>175500</x:v>
      </x:c>
      <x:c r="G16" s="8" t="n">
        <x:f>E16-F16</x:f>
        <x:v>1287000</x:v>
      </x:c>
      <x:c r="H16" s="8" t="n">
        <x:f>Inputs!B7+250000</x:f>
        <x:v>2050000</x:v>
      </x:c>
      <x:c r="I16" s="8" t="n">
        <x:f>G16-H16</x:f>
        <x:v>-763000</x:v>
      </x:c>
      <x:c r="J16" s="8" t="n">
        <x:f>J15+I16</x:f>
        <x:v>-20685000</x:v>
      </x:c>
    </x:row>
    <x:row r="17">
      <x:c r="A17" s="2" t="str">
        <x:v>Month 16</x:v>
      </x:c>
      <x:c r="B17" s="2" t="n">
        <x:f>B16+C17-D17</x:f>
        <x:v>125</x:v>
      </x:c>
      <x:c r="C17" s="2" t="n">
        <x:f>Inputs!B3</x:f>
        <x:v>8</x:v>
      </x:c>
      <x:c r="D17" s="2">
        <x:f>B17*Inputs!B4</x:f>
      </x:c>
      <x:c r="E17" s="8" t="n">
        <x:f>B17*Inputs!B5</x:f>
        <x:v>1562500</x:v>
      </x:c>
      <x:c r="F17" s="8" t="n">
        <x:f>B17*Inputs!B6</x:f>
        <x:v>187500</x:v>
      </x:c>
      <x:c r="G17" s="8" t="n">
        <x:f>E17-F17</x:f>
        <x:v>1375000</x:v>
      </x:c>
      <x:c r="H17" s="8" t="n">
        <x:f>Inputs!B7+250000</x:f>
        <x:v>2050000</x:v>
      </x:c>
      <x:c r="I17" s="8" t="n">
        <x:f>G17-H17</x:f>
        <x:v>-675000</x:v>
      </x:c>
      <x:c r="J17" s="8" t="n">
        <x:f>J16+I17</x:f>
        <x:v>-21360000</x:v>
      </x:c>
    </x:row>
    <x:row r="18">
      <x:c r="A18" s="2" t="str">
        <x:v>Month 17</x:v>
      </x:c>
      <x:c r="B18" s="2" t="n">
        <x:f>B17+C18-D18</x:f>
        <x:v>133</x:v>
      </x:c>
      <x:c r="C18" s="2" t="n">
        <x:f>Inputs!B3</x:f>
        <x:v>8</x:v>
      </x:c>
      <x:c r="D18" s="2">
        <x:f>B18*Inputs!B4</x:f>
      </x:c>
      <x:c r="E18" s="8" t="n">
        <x:f>B18*Inputs!B5</x:f>
        <x:v>1662500</x:v>
      </x:c>
      <x:c r="F18" s="8" t="n">
        <x:f>B18*Inputs!B6</x:f>
        <x:v>199500</x:v>
      </x:c>
      <x:c r="G18" s="8" t="n">
        <x:f>E18-F18</x:f>
        <x:v>1463000</x:v>
      </x:c>
      <x:c r="H18" s="8" t="n">
        <x:f>Inputs!B7+250000</x:f>
        <x:v>2050000</x:v>
      </x:c>
      <x:c r="I18" s="8" t="n">
        <x:f>G18-H18</x:f>
        <x:v>-587000</x:v>
      </x:c>
      <x:c r="J18" s="8" t="n">
        <x:f>J17+I18</x:f>
        <x:v>-21947000</x:v>
      </x:c>
    </x:row>
    <x:row r="19">
      <x:c r="A19" s="2" t="str">
        <x:v>Month 18</x:v>
      </x:c>
      <x:c r="B19" s="2" t="n">
        <x:f>B18+C19-D19</x:f>
        <x:v>141</x:v>
      </x:c>
      <x:c r="C19" s="2" t="n">
        <x:f>Inputs!B3</x:f>
        <x:v>8</x:v>
      </x:c>
      <x:c r="D19" s="2">
        <x:f>B19*Inputs!B4</x:f>
      </x:c>
      <x:c r="E19" s="8" t="n">
        <x:f>B19*Inputs!B5</x:f>
        <x:v>1762500</x:v>
      </x:c>
      <x:c r="F19" s="8" t="n">
        <x:f>B19*Inputs!B6</x:f>
        <x:v>211500</x:v>
      </x:c>
      <x:c r="G19" s="8" t="n">
        <x:f>E19-F19</x:f>
        <x:v>1551000</x:v>
      </x:c>
      <x:c r="H19" s="8" t="n">
        <x:f>Inputs!B7+250000</x:f>
        <x:v>2050000</x:v>
      </x:c>
      <x:c r="I19" s="8" t="n">
        <x:f>G19-H19</x:f>
        <x:v>-499000</x:v>
      </x:c>
      <x:c r="J19" s="8" t="n">
        <x:f>J18+I19</x:f>
        <x:v>-22446000</x:v>
      </x:c>
    </x:row>
    <x:row r="20">
      <x:c r="A20" s="2" t="str">
        <x:v>Month 19</x:v>
      </x:c>
      <x:c r="B20" s="2" t="n">
        <x:f>B19+C20-D20</x:f>
        <x:v>149</x:v>
      </x:c>
      <x:c r="C20" s="2" t="n">
        <x:f>Inputs!B3</x:f>
        <x:v>8</x:v>
      </x:c>
      <x:c r="D20" s="2">
        <x:f>B20*Inputs!B4</x:f>
      </x:c>
      <x:c r="E20" s="8" t="n">
        <x:f>B20*Inputs!B5</x:f>
        <x:v>1862500</x:v>
      </x:c>
      <x:c r="F20" s="8" t="n">
        <x:f>B20*Inputs!B6</x:f>
        <x:v>223500</x:v>
      </x:c>
      <x:c r="G20" s="8" t="n">
        <x:f>E20-F20</x:f>
        <x:v>1639000</x:v>
      </x:c>
      <x:c r="H20" s="8" t="n">
        <x:f>Inputs!B7+250000</x:f>
        <x:v>2050000</x:v>
      </x:c>
      <x:c r="I20" s="8" t="n">
        <x:f>G20-H20</x:f>
        <x:v>-411000</x:v>
      </x:c>
      <x:c r="J20" s="8" t="n">
        <x:f>J19+I20</x:f>
        <x:v>-22857000</x:v>
      </x:c>
    </x:row>
    <x:row r="21">
      <x:c r="A21" s="2" t="str">
        <x:v>Month 20</x:v>
      </x:c>
      <x:c r="B21" s="2" t="n">
        <x:f>B20+C21-D21</x:f>
        <x:v>157</x:v>
      </x:c>
      <x:c r="C21" s="2" t="n">
        <x:f>Inputs!B3</x:f>
        <x:v>8</x:v>
      </x:c>
      <x:c r="D21" s="2">
        <x:f>B21*Inputs!B4</x:f>
      </x:c>
      <x:c r="E21" s="8" t="n">
        <x:f>B21*Inputs!B5</x:f>
        <x:v>1962500</x:v>
      </x:c>
      <x:c r="F21" s="8" t="n">
        <x:f>B21*Inputs!B6</x:f>
        <x:v>235500</x:v>
      </x:c>
      <x:c r="G21" s="8" t="n">
        <x:f>E21-F21</x:f>
        <x:v>1727000</x:v>
      </x:c>
      <x:c r="H21" s="8" t="n">
        <x:f>Inputs!B7+250000</x:f>
        <x:v>2050000</x:v>
      </x:c>
      <x:c r="I21" s="8" t="n">
        <x:f>G21-H21</x:f>
        <x:v>-323000</x:v>
      </x:c>
      <x:c r="J21" s="8" t="n">
        <x:f>J20+I21</x:f>
        <x:v>-23180000</x:v>
      </x:c>
    </x:row>
    <x:row r="22">
      <x:c r="A22" s="2" t="str">
        <x:v>Month 21</x:v>
      </x:c>
      <x:c r="B22" s="2" t="n">
        <x:f>B21+C22-D22</x:f>
        <x:v>165</x:v>
      </x:c>
      <x:c r="C22" s="2" t="n">
        <x:f>Inputs!B3</x:f>
        <x:v>8</x:v>
      </x:c>
      <x:c r="D22" s="2">
        <x:f>B22*Inputs!B4</x:f>
      </x:c>
      <x:c r="E22" s="8" t="n">
        <x:f>B22*Inputs!B5</x:f>
        <x:v>2062500</x:v>
      </x:c>
      <x:c r="F22" s="8" t="n">
        <x:f>B22*Inputs!B6</x:f>
        <x:v>247500</x:v>
      </x:c>
      <x:c r="G22" s="8" t="n">
        <x:f>E22-F22</x:f>
        <x:v>1815000</x:v>
      </x:c>
      <x:c r="H22" s="8" t="n">
        <x:f>Inputs!B7+250000</x:f>
        <x:v>2050000</x:v>
      </x:c>
      <x:c r="I22" s="8" t="n">
        <x:f>G22-H22</x:f>
        <x:v>-235000</x:v>
      </x:c>
      <x:c r="J22" s="8" t="n">
        <x:f>J21+I22</x:f>
        <x:v>-23415000</x:v>
      </x:c>
    </x:row>
    <x:row r="23">
      <x:c r="A23" s="2" t="str">
        <x:v>Month 22</x:v>
      </x:c>
      <x:c r="B23" s="2" t="n">
        <x:f>B22+C23-D23</x:f>
        <x:v>173</x:v>
      </x:c>
      <x:c r="C23" s="2" t="n">
        <x:f>Inputs!B3</x:f>
        <x:v>8</x:v>
      </x:c>
      <x:c r="D23" s="2">
        <x:f>B23*Inputs!B4</x:f>
      </x:c>
      <x:c r="E23" s="8" t="n">
        <x:f>B23*Inputs!B5</x:f>
        <x:v>2162500</x:v>
      </x:c>
      <x:c r="F23" s="8" t="n">
        <x:f>B23*Inputs!B6</x:f>
        <x:v>259500</x:v>
      </x:c>
      <x:c r="G23" s="8" t="n">
        <x:f>E23-F23</x:f>
        <x:v>1903000</x:v>
      </x:c>
      <x:c r="H23" s="8" t="n">
        <x:f>Inputs!B7+250000</x:f>
        <x:v>2050000</x:v>
      </x:c>
      <x:c r="I23" s="8" t="n">
        <x:f>G23-H23</x:f>
        <x:v>-147000</x:v>
      </x:c>
      <x:c r="J23" s="8" t="n">
        <x:f>J22+I23</x:f>
        <x:v>-23562000</x:v>
      </x:c>
    </x:row>
    <x:row r="24">
      <x:c r="A24" s="2" t="str">
        <x:v>Month 23</x:v>
      </x:c>
      <x:c r="B24" s="2" t="n">
        <x:f>B23+C24-D24</x:f>
        <x:v>181</x:v>
      </x:c>
      <x:c r="C24" s="2" t="n">
        <x:f>Inputs!B3</x:f>
        <x:v>8</x:v>
      </x:c>
      <x:c r="D24" s="2">
        <x:f>B24*Inputs!B4</x:f>
      </x:c>
      <x:c r="E24" s="8" t="n">
        <x:f>B24*Inputs!B5</x:f>
        <x:v>2262500</x:v>
      </x:c>
      <x:c r="F24" s="8" t="n">
        <x:f>B24*Inputs!B6</x:f>
        <x:v>271500</x:v>
      </x:c>
      <x:c r="G24" s="8" t="n">
        <x:f>E24-F24</x:f>
        <x:v>1991000</x:v>
      </x:c>
      <x:c r="H24" s="8" t="n">
        <x:f>Inputs!B7+250000</x:f>
        <x:v>2050000</x:v>
      </x:c>
      <x:c r="I24" s="8" t="n">
        <x:f>G24-H24</x:f>
        <x:v>-59000</x:v>
      </x:c>
      <x:c r="J24" s="8" t="n">
        <x:f>J23+I24</x:f>
        <x:v>-23621000</x:v>
      </x:c>
    </x:row>
    <x:row r="25">
      <x:c r="A25" s="2" t="str">
        <x:v>Month 24</x:v>
      </x:c>
      <x:c r="B25" s="2" t="n">
        <x:f>B24+C25-D25</x:f>
        <x:v>189</x:v>
      </x:c>
      <x:c r="C25" s="2" t="n">
        <x:f>Inputs!B3</x:f>
        <x:v>8</x:v>
      </x:c>
      <x:c r="D25" s="2">
        <x:f>B25*Inputs!B4</x:f>
      </x:c>
      <x:c r="E25" s="8" t="n">
        <x:f>B25*Inputs!B5</x:f>
        <x:v>2362500</x:v>
      </x:c>
      <x:c r="F25" s="8" t="n">
        <x:f>B25*Inputs!B6</x:f>
        <x:v>283500</x:v>
      </x:c>
      <x:c r="G25" s="8" t="n">
        <x:f>E25-F25</x:f>
        <x:v>2079000</x:v>
      </x:c>
      <x:c r="H25" s="8" t="n">
        <x:f>Inputs!B7+250000</x:f>
        <x:v>2050000</x:v>
      </x:c>
      <x:c r="I25" s="8" t="n">
        <x:f>G25-H25</x:f>
        <x:v>29000</x:v>
      </x:c>
      <x:c r="J25" s="8" t="n">
        <x:f>J24+I25</x:f>
        <x:v>-23592000</x:v>
      </x:c>
    </x:row>
    <x:row r="26">
      <x:c r="A26" s="2" t="str">
        <x:v>Month 25</x:v>
      </x:c>
      <x:c r="B26" s="2" t="n">
        <x:f>B25+C26-D26</x:f>
        <x:v>197</x:v>
      </x:c>
      <x:c r="C26" s="2" t="n">
        <x:f>Inputs!B3</x:f>
        <x:v>8</x:v>
      </x:c>
      <x:c r="D26" s="2">
        <x:f>B26*Inputs!B4</x:f>
      </x:c>
      <x:c r="E26" s="8" t="n">
        <x:f>B26*Inputs!B5</x:f>
        <x:v>2462500</x:v>
      </x:c>
      <x:c r="F26" s="8" t="n">
        <x:f>B26*Inputs!B6</x:f>
        <x:v>295500</x:v>
      </x:c>
      <x:c r="G26" s="8" t="n">
        <x:f>E26-F26</x:f>
        <x:v>2167000</x:v>
      </x:c>
      <x:c r="H26" s="8" t="n">
        <x:f>Inputs!B7+250000</x:f>
        <x:v>2050000</x:v>
      </x:c>
      <x:c r="I26" s="8" t="n">
        <x:f>G26-H26</x:f>
        <x:v>117000</x:v>
      </x:c>
      <x:c r="J26" s="8" t="n">
        <x:f>J25+I26</x:f>
        <x:v>-23475000</x:v>
      </x:c>
    </x:row>
    <x:row r="27">
      <x:c r="A27" s="2" t="str">
        <x:v>Month 26</x:v>
      </x:c>
      <x:c r="B27" s="2" t="n">
        <x:f>B26+C27-D27</x:f>
        <x:v>205</x:v>
      </x:c>
      <x:c r="C27" s="2" t="n">
        <x:f>Inputs!B3</x:f>
        <x:v>8</x:v>
      </x:c>
      <x:c r="D27" s="2">
        <x:f>B27*Inputs!B4</x:f>
      </x:c>
      <x:c r="E27" s="8" t="n">
        <x:f>B27*Inputs!B5</x:f>
        <x:v>2562500</x:v>
      </x:c>
      <x:c r="F27" s="8" t="n">
        <x:f>B27*Inputs!B6</x:f>
        <x:v>307500</x:v>
      </x:c>
      <x:c r="G27" s="8" t="n">
        <x:f>E27-F27</x:f>
        <x:v>2255000</x:v>
      </x:c>
      <x:c r="H27" s="8" t="n">
        <x:f>Inputs!B7+250000</x:f>
        <x:v>2050000</x:v>
      </x:c>
      <x:c r="I27" s="8" t="n">
        <x:f>G27-H27</x:f>
        <x:v>205000</x:v>
      </x:c>
      <x:c r="J27" s="8" t="n">
        <x:f>J26+I27</x:f>
        <x:v>-23270000</x:v>
      </x:c>
    </x:row>
    <x:row r="28">
      <x:c r="A28" s="2" t="str">
        <x:v>Month 27</x:v>
      </x:c>
      <x:c r="B28" s="2" t="n">
        <x:f>B27+C28-D28</x:f>
        <x:v>213</x:v>
      </x:c>
      <x:c r="C28" s="2" t="n">
        <x:f>Inputs!B3</x:f>
        <x:v>8</x:v>
      </x:c>
      <x:c r="D28" s="2">
        <x:f>B28*Inputs!B4</x:f>
      </x:c>
      <x:c r="E28" s="8" t="n">
        <x:f>B28*Inputs!B5</x:f>
        <x:v>2662500</x:v>
      </x:c>
      <x:c r="F28" s="8" t="n">
        <x:f>B28*Inputs!B6</x:f>
        <x:v>319500</x:v>
      </x:c>
      <x:c r="G28" s="8" t="n">
        <x:f>E28-F28</x:f>
        <x:v>2343000</x:v>
      </x:c>
      <x:c r="H28" s="8" t="n">
        <x:f>Inputs!B7+250000</x:f>
        <x:v>2050000</x:v>
      </x:c>
      <x:c r="I28" s="8" t="n">
        <x:f>G28-H28</x:f>
        <x:v>293000</x:v>
      </x:c>
      <x:c r="J28" s="8" t="n">
        <x:f>J27+I28</x:f>
        <x:v>-22977000</x:v>
      </x:c>
    </x:row>
    <x:row r="29">
      <x:c r="A29" s="2" t="str">
        <x:v>Month 28</x:v>
      </x:c>
      <x:c r="B29" s="2" t="n">
        <x:f>B28+C29-D29</x:f>
        <x:v>221</x:v>
      </x:c>
      <x:c r="C29" s="2" t="n">
        <x:f>Inputs!B3</x:f>
        <x:v>8</x:v>
      </x:c>
      <x:c r="D29" s="2">
        <x:f>B29*Inputs!B4</x:f>
      </x:c>
      <x:c r="E29" s="8" t="n">
        <x:f>B29*Inputs!B5</x:f>
        <x:v>2762500</x:v>
      </x:c>
      <x:c r="F29" s="8" t="n">
        <x:f>B29*Inputs!B6</x:f>
        <x:v>331500</x:v>
      </x:c>
      <x:c r="G29" s="8" t="n">
        <x:f>E29-F29</x:f>
        <x:v>2431000</x:v>
      </x:c>
      <x:c r="H29" s="8" t="n">
        <x:f>Inputs!B7+250000</x:f>
        <x:v>2050000</x:v>
      </x:c>
      <x:c r="I29" s="8" t="n">
        <x:f>G29-H29</x:f>
        <x:v>381000</x:v>
      </x:c>
      <x:c r="J29" s="8" t="n">
        <x:f>J28+I29</x:f>
        <x:v>-22596000</x:v>
      </x:c>
    </x:row>
    <x:row r="30">
      <x:c r="A30" s="2" t="str">
        <x:v>Month 29</x:v>
      </x:c>
      <x:c r="B30" s="2" t="n">
        <x:f>B29+C30-D30</x:f>
        <x:v>229</x:v>
      </x:c>
      <x:c r="C30" s="2" t="n">
        <x:f>Inputs!B3</x:f>
        <x:v>8</x:v>
      </x:c>
      <x:c r="D30" s="2">
        <x:f>B30*Inputs!B4</x:f>
      </x:c>
      <x:c r="E30" s="8" t="n">
        <x:f>B30*Inputs!B5</x:f>
        <x:v>2862500</x:v>
      </x:c>
      <x:c r="F30" s="8" t="n">
        <x:f>B30*Inputs!B6</x:f>
        <x:v>343500</x:v>
      </x:c>
      <x:c r="G30" s="8" t="n">
        <x:f>E30-F30</x:f>
        <x:v>2519000</x:v>
      </x:c>
      <x:c r="H30" s="8" t="n">
        <x:f>Inputs!B7+250000</x:f>
        <x:v>2050000</x:v>
      </x:c>
      <x:c r="I30" s="8" t="n">
        <x:f>G30-H30</x:f>
        <x:v>469000</x:v>
      </x:c>
      <x:c r="J30" s="8" t="n">
        <x:f>J29+I30</x:f>
        <x:v>-22127000</x:v>
      </x:c>
    </x:row>
    <x:row r="31">
      <x:c r="A31" s="2" t="str">
        <x:v>Month 30</x:v>
      </x:c>
      <x:c r="B31" s="2" t="n">
        <x:f>B30+C31-D31</x:f>
        <x:v>237</x:v>
      </x:c>
      <x:c r="C31" s="2" t="n">
        <x:f>Inputs!B3</x:f>
        <x:v>8</x:v>
      </x:c>
      <x:c r="D31" s="2">
        <x:f>B31*Inputs!B4</x:f>
      </x:c>
      <x:c r="E31" s="8" t="n">
        <x:f>B31*Inputs!B5</x:f>
        <x:v>2962500</x:v>
      </x:c>
      <x:c r="F31" s="8" t="n">
        <x:f>B31*Inputs!B6</x:f>
        <x:v>355500</x:v>
      </x:c>
      <x:c r="G31" s="8" t="n">
        <x:f>E31-F31</x:f>
        <x:v>2607000</x:v>
      </x:c>
      <x:c r="H31" s="8" t="n">
        <x:f>Inputs!B7+250000</x:f>
        <x:v>2050000</x:v>
      </x:c>
      <x:c r="I31" s="8" t="n">
        <x:f>G31-H31</x:f>
        <x:v>557000</x:v>
      </x:c>
      <x:c r="J31" s="8" t="n">
        <x:f>J30+I31</x:f>
        <x:v>-21570000</x:v>
      </x:c>
    </x:row>
    <x:row r="32">
      <x:c r="A32" s="2" t="str">
        <x:v>Month 31</x:v>
      </x:c>
      <x:c r="B32" s="2" t="n">
        <x:f>B31+C32-D32</x:f>
        <x:v>245</x:v>
      </x:c>
      <x:c r="C32" s="2" t="n">
        <x:f>Inputs!B3</x:f>
        <x:v>8</x:v>
      </x:c>
      <x:c r="D32" s="2">
        <x:f>B32*Inputs!B4</x:f>
      </x:c>
      <x:c r="E32" s="8" t="n">
        <x:f>B32*Inputs!B5</x:f>
        <x:v>3062500</x:v>
      </x:c>
      <x:c r="F32" s="8" t="n">
        <x:f>B32*Inputs!B6</x:f>
        <x:v>367500</x:v>
      </x:c>
      <x:c r="G32" s="8" t="n">
        <x:f>E32-F32</x:f>
        <x:v>2695000</x:v>
      </x:c>
      <x:c r="H32" s="8" t="n">
        <x:f>Inputs!B7+250000</x:f>
        <x:v>2050000</x:v>
      </x:c>
      <x:c r="I32" s="8" t="n">
        <x:f>G32-H32</x:f>
        <x:v>645000</x:v>
      </x:c>
      <x:c r="J32" s="8" t="n">
        <x:f>J31+I32</x:f>
        <x:v>-20925000</x:v>
      </x:c>
    </x:row>
    <x:row r="33">
      <x:c r="A33" s="2" t="str">
        <x:v>Month 32</x:v>
      </x:c>
      <x:c r="B33" s="2" t="n">
        <x:f>B32+C33-D33</x:f>
        <x:v>253</x:v>
      </x:c>
      <x:c r="C33" s="2" t="n">
        <x:f>Inputs!B3</x:f>
        <x:v>8</x:v>
      </x:c>
      <x:c r="D33" s="2">
        <x:f>B33*Inputs!B4</x:f>
      </x:c>
      <x:c r="E33" s="8" t="n">
        <x:f>B33*Inputs!B5</x:f>
        <x:v>3162500</x:v>
      </x:c>
      <x:c r="F33" s="8" t="n">
        <x:f>B33*Inputs!B6</x:f>
        <x:v>379500</x:v>
      </x:c>
      <x:c r="G33" s="8" t="n">
        <x:f>E33-F33</x:f>
        <x:v>2783000</x:v>
      </x:c>
      <x:c r="H33" s="8" t="n">
        <x:f>Inputs!B7+250000</x:f>
        <x:v>2050000</x:v>
      </x:c>
      <x:c r="I33" s="8" t="n">
        <x:f>G33-H33</x:f>
        <x:v>733000</x:v>
      </x:c>
      <x:c r="J33" s="8" t="n">
        <x:f>J32+I33</x:f>
        <x:v>-20192000</x:v>
      </x:c>
    </x:row>
    <x:row r="34">
      <x:c r="A34" s="2" t="str">
        <x:v>Month 33</x:v>
      </x:c>
      <x:c r="B34" s="2" t="n">
        <x:f>B33+C34-D34</x:f>
        <x:v>261</x:v>
      </x:c>
      <x:c r="C34" s="2" t="n">
        <x:f>Inputs!B3</x:f>
        <x:v>8</x:v>
      </x:c>
      <x:c r="D34" s="2">
        <x:f>B34*Inputs!B4</x:f>
      </x:c>
      <x:c r="E34" s="8" t="n">
        <x:f>B34*Inputs!B5</x:f>
        <x:v>3262500</x:v>
      </x:c>
      <x:c r="F34" s="8" t="n">
        <x:f>B34*Inputs!B6</x:f>
        <x:v>391500</x:v>
      </x:c>
      <x:c r="G34" s="8" t="n">
        <x:f>E34-F34</x:f>
        <x:v>2871000</x:v>
      </x:c>
      <x:c r="H34" s="8" t="n">
        <x:f>Inputs!B7+250000</x:f>
        <x:v>2050000</x:v>
      </x:c>
      <x:c r="I34" s="8" t="n">
        <x:f>G34-H34</x:f>
        <x:v>821000</x:v>
      </x:c>
      <x:c r="J34" s="8" t="n">
        <x:f>J33+I34</x:f>
        <x:v>-19371000</x:v>
      </x:c>
    </x:row>
    <x:row r="35">
      <x:c r="A35" s="2" t="str">
        <x:v>Month 34</x:v>
      </x:c>
      <x:c r="B35" s="2" t="n">
        <x:f>B34+C35-D35</x:f>
        <x:v>269</x:v>
      </x:c>
      <x:c r="C35" s="2" t="n">
        <x:f>Inputs!B3</x:f>
        <x:v>8</x:v>
      </x:c>
      <x:c r="D35" s="2">
        <x:f>B35*Inputs!B4</x:f>
      </x:c>
      <x:c r="E35" s="8" t="n">
        <x:f>B35*Inputs!B5</x:f>
        <x:v>3362500</x:v>
      </x:c>
      <x:c r="F35" s="8" t="n">
        <x:f>B35*Inputs!B6</x:f>
        <x:v>403500</x:v>
      </x:c>
      <x:c r="G35" s="8" t="n">
        <x:f>E35-F35</x:f>
        <x:v>2959000</x:v>
      </x:c>
      <x:c r="H35" s="8" t="n">
        <x:f>Inputs!B7+250000</x:f>
        <x:v>2050000</x:v>
      </x:c>
      <x:c r="I35" s="8" t="n">
        <x:f>G35-H35</x:f>
        <x:v>909000</x:v>
      </x:c>
      <x:c r="J35" s="8" t="n">
        <x:f>J34+I35</x:f>
        <x:v>-18462000</x:v>
      </x:c>
    </x:row>
    <x:row r="36">
      <x:c r="A36" s="2" t="str">
        <x:v>Month 35</x:v>
      </x:c>
      <x:c r="B36" s="2" t="n">
        <x:f>B35+C36-D36</x:f>
        <x:v>277</x:v>
      </x:c>
      <x:c r="C36" s="2" t="n">
        <x:f>Inputs!B3</x:f>
        <x:v>8</x:v>
      </x:c>
      <x:c r="D36" s="2">
        <x:f>B36*Inputs!B4</x:f>
      </x:c>
      <x:c r="E36" s="8" t="n">
        <x:f>B36*Inputs!B5</x:f>
        <x:v>3462500</x:v>
      </x:c>
      <x:c r="F36" s="8" t="n">
        <x:f>B36*Inputs!B6</x:f>
        <x:v>415500</x:v>
      </x:c>
      <x:c r="G36" s="8" t="n">
        <x:f>E36-F36</x:f>
        <x:v>3047000</x:v>
      </x:c>
      <x:c r="H36" s="8" t="n">
        <x:f>Inputs!B7+250000</x:f>
        <x:v>2050000</x:v>
      </x:c>
      <x:c r="I36" s="8" t="n">
        <x:f>G36-H36</x:f>
        <x:v>997000</x:v>
      </x:c>
      <x:c r="J36" s="8" t="n">
        <x:f>J35+I36</x:f>
        <x:v>-17465000</x:v>
      </x:c>
    </x:row>
    <x:row r="37">
      <x:c r="A37" s="2" t="str">
        <x:v>Month 36</x:v>
      </x:c>
      <x:c r="B37" s="2" t="n">
        <x:f>B36+C37-D37</x:f>
        <x:v>285</x:v>
      </x:c>
      <x:c r="C37" s="2" t="n">
        <x:f>Inputs!B3</x:f>
        <x:v>8</x:v>
      </x:c>
      <x:c r="D37" s="2">
        <x:f>B37*Inputs!B4</x:f>
      </x:c>
      <x:c r="E37" s="8" t="n">
        <x:f>B37*Inputs!B5</x:f>
        <x:v>3562500</x:v>
      </x:c>
      <x:c r="F37" s="8" t="n">
        <x:f>B37*Inputs!B6</x:f>
        <x:v>427500</x:v>
      </x:c>
      <x:c r="G37" s="8" t="n">
        <x:f>E37-F37</x:f>
        <x:v>3135000</x:v>
      </x:c>
      <x:c r="H37" s="8" t="n">
        <x:f>Inputs!B7+250000</x:f>
        <x:v>2050000</x:v>
      </x:c>
      <x:c r="I37" s="8" t="n">
        <x:f>G37-H37</x:f>
        <x:v>1085000</x:v>
      </x:c>
      <x:c r="J37" s="8" t="n">
        <x:f>J36+I37</x:f>
        <x:v>-16380000</x:v>
      </x:c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</x:cols>
  <x:sheetData>
    <x:row r="1">
      <x:c r="A1" s="6" t="str">
        <x:v>Metric</x:v>
      </x:c>
      <x:c r="B1" s="6" t="str">
        <x:v>Value</x:v>
      </x:c>
      <x:c r="C1" s="2"/>
      <x:c r="D1" s="2"/>
      <x:c r="E1" s="2"/>
      <x:c r="F1" s="2"/>
      <x:c r="G1" s="2"/>
      <x:c r="H1" s="2"/>
      <x:c r="I1" s="2"/>
      <x:c r="J1" s="2"/>
    </x:row>
    <x:row r="2">
      <x:c r="A2" s="2" t="str">
        <x:v>Month 36 MRR</x:v>
      </x:c>
      <x:c r="B2" s="8" t="n">
        <x:f>Model!E37</x:f>
        <x:v>3562500</x:v>
      </x:c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Final Paying Merchants</x:v>
      </x:c>
      <x:c r="B3" s="8" t="n">
        <x:f>Model!B37</x:f>
        <x:v>285</x:v>
      </x:c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Month 36 EBITDA</x:v>
      </x:c>
      <x:c r="B4" s="8" t="n">
        <x:f>Model!I37</x:f>
        <x:v>1085000</x:v>
      </x:c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36M Cumulative EBITDA</x:v>
      </x:c>
      <x:c r="B5" s="8" t="n">
        <x:f>Model!J37</x:f>
        <x:v>-16380000</x:v>
      </x:c>
      <x:c r="C5" s="2"/>
      <x:c r="D5" s="2"/>
      <x:c r="E5" s="2"/>
      <x:c r="F5" s="2"/>
      <x:c r="G5" s="2"/>
      <x:c r="H5" s="2"/>
      <x:c r="I5" s="2"/>
      <x:c r="J5" s="2"/>
    </x:row>
    <x:row r="6">
      <x:c r="A6" s="2" t="str">
        <x:v>Base Subscription</x:v>
      </x:c>
      <x:c r="B6" s="8" t="n">
        <x:f>Inputs!B5</x:f>
        <x:v>12500</x:v>
      </x:c>
      <x:c r="C6" s="2"/>
      <x:c r="D6" s="2"/>
      <x:c r="E6" s="2"/>
      <x:c r="F6" s="2"/>
      <x:c r="G6" s="2"/>
      <x:c r="H6" s="2"/>
      <x:c r="I6" s="2"/>
      <x:c r="J6" s="2"/>
    </x:row>
    <x:row r="7">
      <x:c r="A7" s="2" t="str">
        <x:v>Pilot Merchants</x:v>
      </x:c>
      <x:c r="B7" s="10" t="n">
        <x:f>Inputs!B9</x:f>
        <x:v>5</x:v>
      </x:c>
      <x:c r="C7" s="2"/>
      <x:c r="D7" s="2"/>
      <x:c r="E7" s="2"/>
      <x:c r="F7" s="2"/>
      <x:c r="G7" s="2"/>
      <x:c r="H7" s="2"/>
      <x:c r="I7" s="2"/>
      <x:c r="J7" s="2"/>
    </x:row>
    <x:row r="8">
      <x:c r="A8" s="2" t="str">
        <x:v>Trial Conversion Rate</x:v>
      </x:c>
      <x:c r="B8" s="12" t="n">
        <x:f>Inputs!B8</x:f>
        <x:v>0.6</x:v>
      </x:c>
      <x:c r="C8" s="2"/>
      <x:c r="D8" s="2"/>
      <x:c r="E8" s="2"/>
      <x:c r="F8" s="2"/>
      <x:c r="G8" s="2"/>
      <x:c r="H8" s="2"/>
      <x:c r="I8" s="2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pageMargins left="0.7" right="0.7" top="0.75" bottom="0.75" header="0.3" footer="0.3"/>
</x:worksheet>
</file>