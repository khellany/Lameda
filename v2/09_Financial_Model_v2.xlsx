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enario Model" sheetId="2" state="visible" r:id="rId4"/>
    <sheet name="Cost Model" sheetId="3" state="visible" r:id="rId5"/>
    <sheet name="Sensitivity" sheetId="4" state="visible" r:id="rId6"/>
    <sheet name="Unit Econom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<sst xmlns="http://schemas.openxmlformats.org/spreadsheetml/2006/main" count="301" uniqueCount="244">
  <si>
    <t xml:space="preserve">LAMEDA — Financial Model v2.0   |   Assumptions</t>
  </si>
  <si>
    <t xml:space="preserve">Blue cells = inputs (change these). Black cells = formulas. All monetary values in Nigerian Naira (₦).</t>
  </si>
  <si>
    <t xml:space="preserve">Hardcoded Input (Blue)</t>
  </si>
  <si>
    <t xml:space="preserve">Formula / Calculated (Black)</t>
  </si>
  <si>
    <t xml:space="preserve">Key Assumption — review carefully</t>
  </si>
  <si>
    <t xml:space="preserve">1. PRICING TIERS (Monthly Subscriptions — ₦)</t>
  </si>
  <si>
    <t xml:space="preserve">Starter Plan Monthly Price (₦)</t>
  </si>
  <si>
    <t xml:space="preserve">MVP launch price</t>
  </si>
  <si>
    <t xml:space="preserve">Growth Plan Monthly Price (₦)</t>
  </si>
  <si>
    <t xml:space="preserve">Primary upsell target</t>
  </si>
  <si>
    <t xml:space="preserve">Pro Plan Monthly Price (₦)</t>
  </si>
  <si>
    <t xml:space="preserve">Power users</t>
  </si>
  <si>
    <t xml:space="preserve">Target ARPU — blended (₦)</t>
  </si>
  <si>
    <t xml:space="preserve">Mix: 40% Starter, 45% Growth, 15% Pro</t>
  </si>
  <si>
    <t xml:space="preserve">Annual Billing Discount</t>
  </si>
  <si>
    <t xml:space="preserve">16.7%</t>
  </si>
  <si>
    <t xml:space="preserve">2 months free = 10/12</t>
  </si>
  <si>
    <t xml:space="preserve">2. MERCHANT GROWTH ASSUMPTIONS</t>
  </si>
  <si>
    <t xml:space="preserve">Starting paying merchants (Month 1)</t>
  </si>
  <si>
    <t xml:space="preserve">Trial → paid in Month 3</t>
  </si>
  <si>
    <t xml:space="preserve">Trial-to-Paid Conversion Rate</t>
  </si>
  <si>
    <t xml:space="preserve">80%</t>
  </si>
  <si>
    <t xml:space="preserve">Target from pilot</t>
  </si>
  <si>
    <t xml:space="preserve">Monthly Churn Rate — Conservative</t>
  </si>
  <si>
    <t xml:space="preserve">8%</t>
  </si>
  <si>
    <t xml:space="preserve">Realistic for early-stage Nigerian SaaS</t>
  </si>
  <si>
    <t xml:space="preserve">Monthly Churn Rate — Base</t>
  </si>
  <si>
    <t xml:space="preserve">5%</t>
  </si>
  <si>
    <t xml:space="preserve">Target after product-market fit</t>
  </si>
  <si>
    <t xml:space="preserve">Monthly Churn Rate — Optimistic</t>
  </si>
  <si>
    <t xml:space="preserve">3%</t>
  </si>
  <si>
    <t xml:space="preserve">World-class retention</t>
  </si>
  <si>
    <t xml:space="preserve">Monthly Growth Rate — Conservative</t>
  </si>
  <si>
    <t xml:space="preserve">Slow, proof-stage growth</t>
  </si>
  <si>
    <t xml:space="preserve">Monthly Growth Rate — Base</t>
  </si>
  <si>
    <t xml:space="preserve">15%</t>
  </si>
  <si>
    <t xml:space="preserve">Healthy compound growth</t>
  </si>
  <si>
    <t xml:space="preserve">Monthly Growth Rate — Optimistic</t>
  </si>
  <si>
    <t xml:space="preserve">22%</t>
  </si>
  <si>
    <t xml:space="preserve">Rapid viral / referral growth</t>
  </si>
  <si>
    <t xml:space="preserve">3. VARIABLE COST ASSUMPTIONS (Per Merchant / Month)</t>
  </si>
  <si>
    <t xml:space="preserve">AI API cost per merchant / month (₦)</t>
  </si>
  <si>
    <t xml:space="preserve">20 chats/day × 30d × 2000 tokens × $0.001/1K × ₦1530/$</t>
  </si>
  <si>
    <t xml:space="preserve">WhatsApp BSP cost per merchant / month (₦)</t>
  </si>
  <si>
    <t xml:space="preserve">600 convos × ₦15/convo (Termii early-stage pricing)</t>
  </si>
  <si>
    <t xml:space="preserve">WhatsApp BSP cost at 100+ merchants (₦)</t>
  </si>
  <si>
    <t xml:space="preserve">Negotiated volume rate target</t>
  </si>
  <si>
    <t xml:space="preserve">Supabase per-merchant share (₦)</t>
  </si>
  <si>
    <t xml:space="preserve">Shared Pro tier ÷ 50 merchants</t>
  </si>
  <si>
    <t xml:space="preserve">Vercel hosting per-merchant share (₦)</t>
  </si>
  <si>
    <t xml:space="preserve">Support allocation per merchant (₦)</t>
  </si>
  <si>
    <t xml:space="preserve">Shared support cost</t>
  </si>
  <si>
    <t xml:space="preserve">Total COGS per merchant — early (₦)</t>
  </si>
  <si>
    <t xml:space="preserve">Sum of above (early stage)</t>
  </si>
  <si>
    <t xml:space="preserve">Gross Margin — early stage</t>
  </si>
  <si>
    <t xml:space="preserve">21.0%</t>
  </si>
  <si>
    <t xml:space="preserve">(₦12,500 ARPU - ₦11,836 COGS) / ₦12,500</t>
  </si>
  <si>
    <t xml:space="preserve">Gross Margin — at scale (BSP negotiated)</t>
  </si>
  <si>
    <t xml:space="preserve">52.4%</t>
  </si>
  <si>
    <t xml:space="preserve">(₦15,000 ARPU - ₦7,136 COGS) / ₦15,000</t>
  </si>
  <si>
    <t xml:space="preserve">4. FIXED OPERATING COSTS (Monthly — ₦)</t>
  </si>
  <si>
    <t xml:space="preserve">Engineering / Founder compensation (₦)</t>
  </si>
  <si>
    <t xml:space="preserve">Founder salary — pre-hire</t>
  </si>
  <si>
    <t xml:space="preserve">Co-founder / Operations (₦)</t>
  </si>
  <si>
    <t xml:space="preserve">Operations and sales</t>
  </si>
  <si>
    <t xml:space="preserve">Infrastructure — hosting, monitoring (₦)</t>
  </si>
  <si>
    <t xml:space="preserve">Supabase Pro, Vercel, Sentry, UptimeRobot</t>
  </si>
  <si>
    <t xml:space="preserve">Marketing and outreach (₦)</t>
  </si>
  <si>
    <t xml:space="preserve">DMs, content, referral incentives</t>
  </si>
  <si>
    <t xml:space="preserve">Legal and compliance — amortised (₦)</t>
  </si>
  <si>
    <t xml:space="preserve">NDPR legal docs, amortised over 12 months</t>
  </si>
  <si>
    <t xml:space="preserve">Miscellaneous (₦)</t>
  </si>
  <si>
    <t xml:space="preserve">Software subscriptions, bank fees</t>
  </si>
  <si>
    <t xml:space="preserve">Total Monthly Fixed Costs (₦)</t>
  </si>
  <si>
    <t xml:space="preserve">Sum of above</t>
  </si>
  <si>
    <t xml:space="preserve">5. UNIT ECONOMICS TARGETS</t>
  </si>
  <si>
    <t xml:space="preserve">Target ARPU (₦/month)</t>
  </si>
  <si>
    <t xml:space="preserve">Blended across plan mix</t>
  </si>
  <si>
    <t xml:space="preserve">Average Merchant Lifespan (months)</t>
  </si>
  <si>
    <t xml:space="preserve">Conservative; improves with retention</t>
  </si>
  <si>
    <t xml:space="preserve">Customer Lifetime Value — LTV (₦)</t>
  </si>
  <si>
    <t xml:space="preserve">ARPU × Lifespan</t>
  </si>
  <si>
    <t xml:space="preserve">Customer Acquisition Cost — CAC (₦)</t>
  </si>
  <si>
    <t xml:space="preserve">Founder-led sales; low marketing spend</t>
  </si>
  <si>
    <t xml:space="preserve">Target LTV:CAC Ratio</t>
  </si>
  <si>
    <t xml:space="preserve">3.2x</t>
  </si>
  <si>
    <t xml:space="preserve">Healthy benchmark for SaaS</t>
  </si>
  <si>
    <t xml:space="preserve">Payback Period (months)</t>
  </si>
  <si>
    <t xml:space="preserve">CAC ÷ (ARPU × gross margin)</t>
  </si>
  <si>
    <t xml:space="preserve">Break-Even Merchants Required</t>
  </si>
  <si>
    <t xml:space="preserve">Fixed costs ÷ ARPU</t>
  </si>
  <si>
    <t xml:space="preserve">LAMEDA — 3-Scenario Monthly Revenue Model (Months 1–18)</t>
  </si>
  <si>
    <t xml:space="preserve">Metric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</si>
  <si>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</si>
  <si>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</si>
  <si>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</si>
  <si>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</si>
  <si>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</si>
  <si>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</si>
  <si>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</si>
  <si>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</si>
  <si>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</si>
  <si>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</si>
  <si>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</si>
  <si>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</si>
  <si>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</si>
  <si>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</si>
  <si>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</si>
  <si>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</si>
  <si>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</si>
  <si>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</si>
  <si>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  CONSERVATIVE SCENARIO — 8% MoM Growth | 8% Monthly Churn</t>
  </si>
  <si>
    <t xml:space="preserve">  New Merchants Added</t>
  </si>
  <si>
    <t xml:space="preserve">  Churned Merchants</t>
  </si>
  <si>
    <t xml:space="preserve">  Net Merchants (Paying)</t>
  </si>
  <si>
    <t xml:space="preserve">  Monthly Revenue (₦)</t>
  </si>
  <si>
    <t xml:space="preserve">  COGS (₦)</t>
  </si>
  <si>
    <t xml:space="preserve">  Gross Profit (₦)</t>
  </si>
  <si>
    <t xml:space="preserve">  Gross Margin %</t>
  </si>
  <si>
    <t xml:space="preserve">  Fixed Costs (₦)</t>
  </si>
  <si>
    <t xml:space="preserve">  Operating Profit / (Loss) (₦)</t>
  </si>
  <si>
    <t xml:space="preserve">  Cumulative Merchants</t>
  </si>
  <si>
    <t xml:space="preserve">  MRR (₦)</t>
  </si>
  <si>
    <t xml:space="preserve">  BASE CASE SCENARIO — 15% MoM Growth | 5% Monthly Churn</t>
  </si>
  <si>
    <t xml:space="preserve">  OPTIMISTIC SCENARIO — 22% MoM Growth | 3% Monthly Churn</t>
  </si>
  <si>
    <t xml:space="preserve">LAMEDA — Bottom-Up Cost Model (Per Merchant + Fixed)</t>
  </si>
  <si>
    <t xml:space="preserve">Cost Driver</t>
  </si>
  <si>
    <t xml:space="preserve">Basis</t>
  </si>
  <si>
    <t xml:space="preserve">Unit Cost (₦)</t>
  </si>
  <si>
    <t xml:space="preserve">Per Merchant/Month (₦)</t>
  </si>
  <si>
    <t xml:space="preserve">At 50 Merchants (₦)</t>
  </si>
  <si>
    <t xml:space="preserve">At 200 Merchants (₦)</t>
  </si>
  <si>
    <t xml:space="preserve">VARIABLE COSTS — Scale with merchant count</t>
  </si>
  <si>
    <t xml:space="preserve">AI API — Claude Haiku (classification)</t>
  </si>
  <si>
    <t xml:space="preserve">20 chats × 30d × 800 tokens × $0.00025/1K × ₦1530</t>
  </si>
  <si>
    <t xml:space="preserve">AI API — Claude Sonnet (complex tasks)</t>
  </si>
  <si>
    <t xml:space="preserve">20 chats × 30d × 1200 tokens × $0.003/1K × ₦1530</t>
  </si>
  <si>
    <t xml:space="preserve">WhatsApp BSP (Termii) — early pricing</t>
  </si>
  <si>
    <t xml:space="preserve">600 convos/month × ₦15/convo</t>
  </si>
  <si>
    <t xml:space="preserve">WhatsApp BSP — negotiated (100+ merchants)</t>
  </si>
  <si>
    <t xml:space="preserve">600 convos/month × ₦7.5/convo</t>
  </si>
  <si>
    <t xml:space="preserve">Supabase — data storage per merchant</t>
  </si>
  <si>
    <t xml:space="preserve">Pro tier shared ÷ merchant count</t>
  </si>
  <si>
    <t xml:space="preserve">Vercel — compute per merchant</t>
  </si>
  <si>
    <t xml:space="preserve">CLIP image matching (Replicate)</t>
  </si>
  <si>
    <t xml:space="preserve">~20 image matches/month × ₦10/match</t>
  </si>
  <si>
    <t xml:space="preserve">Customer support — per merchant allocation</t>
  </si>
  <si>
    <t xml:space="preserve">Shared support ÷ merchant count</t>
  </si>
  <si>
    <t xml:space="preserve">TOTAL VARIABLE COGS (Early Stage — per merchant)</t>
  </si>
  <si>
    <t xml:space="preserve">FIXED OPERATING COSTS — Do not scale with merchants</t>
  </si>
  <si>
    <t xml:space="preserve">Engineering / Founder salary</t>
  </si>
  <si>
    <t xml:space="preserve">Pre-team hire</t>
  </si>
  <si>
    <t xml:space="preserve">Co-founder / Operations</t>
  </si>
  <si>
    <t xml:space="preserve">Infrastructure (Supabase, Vercel, Sentry, UptimeRobot)</t>
  </si>
  <si>
    <t xml:space="preserve">Flat monthly</t>
  </si>
  <si>
    <t xml:space="preserve">Marketing and outreach</t>
  </si>
  <si>
    <t xml:space="preserve">DMs, referral incentives, content</t>
  </si>
  <si>
    <t xml:space="preserve">Legal and compliance (amortised)</t>
  </si>
  <si>
    <t xml:space="preserve">₦300k ÷ 12 months</t>
  </si>
  <si>
    <t xml:space="preserve">Miscellaneous</t>
  </si>
  <si>
    <t xml:space="preserve">Software, bank fees</t>
  </si>
  <si>
    <t xml:space="preserve">TOTAL FIXED MONTHLY COSTS</t>
  </si>
  <si>
    <t xml:space="preserve">BREAK-EVEN ANALYSIS</t>
  </si>
  <si>
    <t xml:space="preserve">Revenue per merchant / month (ARPU)</t>
  </si>
  <si>
    <t xml:space="preserve">COGS per merchant / month</t>
  </si>
  <si>
    <t xml:space="preserve">Contribution margin per merchant (₦)</t>
  </si>
  <si>
    <t xml:space="preserve">Total fixed costs / month (₦)</t>
  </si>
  <si>
    <t xml:space="preserve">Break-even merchants required</t>
  </si>
  <si>
    <t xml:space="preserve">Break-even monthly revenue (₦)</t>
  </si>
  <si>
    <t xml:space="preserve">LAMEDA — Sensitivity Analysis (Month 18 MRR vs. Key Drivers)</t>
  </si>
  <si>
    <t xml:space="preserve">All values show projected Monthly Recurring Revenue (MRR) at Month 18 under different assumptions.</t>
  </si>
  <si>
    <t xml:space="preserve">TABLE 1: Month 18 MRR (₦) — Monthly Growth Rate vs. Monthly Churn Rate   [Base: 5 starting merchants, ₦12,500 ARPU]</t>
  </si>
  <si>
    <t xml:space="preserve">Growth ↓</t>
  </si>
  <si>
    <t xml:space="preserve">7%</t>
  </si>
  <si>
    <t xml:space="preserve">10%</t>
  </si>
  <si>
    <t xml:space="preserve">12%</t>
  </si>
  <si>
    <t xml:space="preserve">18%</t>
  </si>
  <si>
    <t xml:space="preserve">25%</t>
  </si>
  <si>
    <t xml:space="preserve">TABLE 2: Break-Even Months — Growth Rate vs. Starting Merchants   [Base: ₦12,500 ARPU, 5% churn, ₦625,000 fixed costs]</t>
  </si>
  <si>
    <t xml:space="preserve">Starting Merchants →</t>
  </si>
  <si>
    <t xml:space="preserve">8% growth</t>
  </si>
  <si>
    <t xml:space="preserve">&gt;36</t>
  </si>
  <si>
    <t xml:space="preserve">12% growth</t>
  </si>
  <si>
    <t xml:space="preserve">15% growth</t>
  </si>
  <si>
    <t xml:space="preserve">18% growth</t>
  </si>
  <si>
    <t xml:space="preserve">22% growth</t>
  </si>
  <si>
    <t xml:space="preserve">25% growth</t>
  </si>
  <si>
    <t xml:space="preserve">30% growth</t>
  </si>
  <si>
    <t xml:space="preserve">LEGEND</t>
  </si>
  <si>
    <t xml:space="preserve">🟢 Green — Positive/Fast</t>
  </si>
  <si>
    <t xml:space="preserve">🟡 Amber — Moderate</t>
  </si>
  <si>
    <t xml:space="preserve">🔴 Red — Slow/Negative</t>
  </si>
  <si>
    <t xml:space="preserve">LAMEDA — Unit Economics Dashboard</t>
  </si>
  <si>
    <t xml:space="preserve">REVENUE METRICS</t>
  </si>
  <si>
    <t xml:space="preserve">ARPU — Starter Plan (₦/month)</t>
  </si>
  <si>
    <t xml:space="preserve">Hardcoded input</t>
  </si>
  <si>
    <t xml:space="preserve">ARPU — Growth Plan (₦/month)</t>
  </si>
  <si>
    <t xml:space="preserve">ARPU — Pro Plan (₦/month)</t>
  </si>
  <si>
    <t xml:space="preserve">Blended ARPU (₦/month)</t>
  </si>
  <si>
    <t xml:space="preserve">40% Starter + 45% Growth + 15% Pro</t>
  </si>
  <si>
    <t xml:space="preserve">Annual ARPU (₦)</t>
  </si>
  <si>
    <t xml:space="preserve">COST METRICS</t>
  </si>
  <si>
    <t xml:space="preserve">COGS per merchant — early stage (₦/month)</t>
  </si>
  <si>
    <t xml:space="preserve">AI + BSP + hosting + support</t>
  </si>
  <si>
    <t xml:space="preserve">COGS per merchant — at scale (₦/month)</t>
  </si>
  <si>
    <t xml:space="preserve">After BSP volume pricing negotiated</t>
  </si>
  <si>
    <t xml:space="preserve">(12500-11836)/12500</t>
  </si>
  <si>
    <t xml:space="preserve">Gross Margin — at scale</t>
  </si>
  <si>
    <t xml:space="preserve">42.9%</t>
  </si>
  <si>
    <t xml:space="preserve">(12500-7136)/12500</t>
  </si>
  <si>
    <t xml:space="preserve">Gross Margin target (Year 2+)</t>
  </si>
  <si>
    <t xml:space="preserve">65.0%</t>
  </si>
  <si>
    <t xml:space="preserve">Industry benchmark for SaaS</t>
  </si>
  <si>
    <t xml:space="preserve">CUSTOMER ECONOMICS</t>
  </si>
  <si>
    <t xml:space="preserve">Conservative estimate</t>
  </si>
  <si>
    <t xml:space="preserve">Blended ARPU × Lifespan</t>
  </si>
  <si>
    <t xml:space="preserve">LTV (₦) — 30-month lifespan</t>
  </si>
  <si>
    <t xml:space="preserve">Optimistic retention scenario</t>
  </si>
  <si>
    <t xml:space="preserve">Founder-led, low marketing spend</t>
  </si>
  <si>
    <t xml:space="preserve">LTV:CAC Ratio — conservative</t>
  </si>
  <si>
    <t xml:space="preserve">225,000 / 70,000</t>
  </si>
  <si>
    <t xml:space="preserve">LTV:CAC Ratio — optimistic</t>
  </si>
  <si>
    <t xml:space="preserve">5.4x</t>
  </si>
  <si>
    <t xml:space="preserve">375,000 / 70,000</t>
  </si>
  <si>
    <t xml:space="preserve">CAC / (ARPU × gross margin)</t>
  </si>
  <si>
    <t xml:space="preserve">Monthly Retention Rate</t>
  </si>
  <si>
    <t xml:space="preserve">95.0%</t>
  </si>
  <si>
    <t xml:space="preserve">1 - 5% churn (base case)</t>
  </si>
  <si>
    <t xml:space="preserve">Annual Retention Rate</t>
  </si>
  <si>
    <t xml:space="preserve">54.0%</t>
  </si>
  <si>
    <t xml:space="preserve">(1-0.05)^12</t>
  </si>
  <si>
    <t xml:space="preserve">BREAK-EVEN</t>
  </si>
  <si>
    <t xml:space="preserve">Fixed costs per month (₦)</t>
  </si>
  <si>
    <t xml:space="preserve">From Cost Model tab</t>
  </si>
  <si>
    <t xml:space="preserve">Contribution margin per merchant — early (₦)</t>
  </si>
  <si>
    <t xml:space="preserve">ARPU - COGS early</t>
  </si>
  <si>
    <t xml:space="preserve">Break-even merchants — early COGS</t>
  </si>
  <si>
    <t xml:space="preserve">Fixed costs / contribution margin — EARLY (NOTE: needs BSP negotiation)</t>
  </si>
  <si>
    <t xml:space="preserve">Contribution margin per merchant — at scale (₦)</t>
  </si>
  <si>
    <t xml:space="preserve">ARPU - COGS at scale</t>
  </si>
  <si>
    <t xml:space="preserve">Break-even merchants — at scale COGS</t>
  </si>
  <si>
    <t xml:space="preserve">Fixed costs / contribution margin at scale</t>
  </si>
  <si>
    <t xml:space="preserve">Break-even revenue per month (₦)</t>
  </si>
  <si>
    <t xml:space="preserve">117 × ₦12,500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</si>
</sst>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₦#,##0;&quot;(₦&quot;#,##0\);\-"/>
    <numFmt numFmtId="166" formatCode="#,##0;\(#,##0\);\-"/>
    <numFmt numFmtId="167" formatCode="0.0%;\(0.0%\);\-"/>
    <numFmt numFmtId="168" formatCode="0.0"/>
    <numFmt numFmtId="169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8C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5276"/>
        <bgColor rgb="FF2E4057"/>
      </patternFill>
    </fill>
    <fill>
      <patternFill patternType="solid">
        <fgColor rgb="FFF8F9FA"/>
        <bgColor rgb="FFFFFFFF"/>
      </patternFill>
    </fill>
    <fill>
      <patternFill patternType="solid">
        <fgColor rgb="FFFFF3CD"/>
        <bgColor rgb="FFF8F9FA"/>
      </patternFill>
    </fill>
    <fill>
      <patternFill patternType="solid">
        <fgColor rgb="FFD6EAF8"/>
        <bgColor rgb="FFD5F5E3"/>
      </patternFill>
    </fill>
    <fill>
      <patternFill patternType="solid">
        <fgColor rgb="FF5D6D7E"/>
        <bgColor rgb="FF555555"/>
      </patternFill>
    </fill>
    <fill>
      <patternFill patternType="solid">
        <fgColor rgb="FFFADBD8"/>
        <bgColor rgb="FFFFF3CD"/>
      </patternFill>
    </fill>
    <fill>
      <patternFill patternType="solid">
        <fgColor rgb="FF2874A6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2E4057"/>
        <bgColor rgb="FF1A527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5276"/>
      </left>
      <right/>
      <top style="medium">
        <color rgb="FF1A5276"/>
      </top>
      <bottom style="medium">
        <color rgb="FF1A5276"/>
      </bottom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/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CCCCCC"/>
      <rgbColor rgb="FF808080"/>
      <rgbColor rgb="FF9999FF"/>
      <rgbColor rgb="FF993366"/>
      <rgbColor rgb="FFFFF3CD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8C00"/>
      <rgbColor rgb="FFFF6600"/>
      <rgbColor rgb="FF5D6D7E"/>
      <rgbColor rgb="FF969696"/>
      <rgbColor rgb="FF1A5276"/>
      <rgbColor rgb="FF339966"/>
      <rgbColor rgb="FF003300"/>
      <rgbColor rgb="FF333300"/>
      <rgbColor rgb="FF993300"/>
      <rgbColor rgb="FF993366"/>
      <rgbColor rgb="FF555555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35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4</v>
      </c>
    </row>
    <row r="5" customFormat="false" ht="18" hidden="false" customHeight="true" outlineLevel="0" collapsed="false">
      <c r="A5" s="6" t="s">
        <v>5</v>
      </c>
      <c r="B5" s="6"/>
      <c r="C5" s="6"/>
    </row>
    <row r="6" customFormat="false" ht="15" hidden="false" customHeight="false" outlineLevel="0" collapsed="false">
      <c r="A6" s="7" t="s">
        <v>6</v>
      </c>
      <c r="B6" s="8" t="n">
        <v>10000</v>
      </c>
      <c r="C6" s="9" t="s">
        <v>7</v>
      </c>
    </row>
    <row r="7" customFormat="false" ht="15" hidden="false" customHeight="false" outlineLevel="0" collapsed="false">
      <c r="A7" s="7" t="s">
        <v>8</v>
      </c>
      <c r="B7" s="8" t="n">
        <v>15000</v>
      </c>
      <c r="C7" s="9" t="s">
        <v>9</v>
      </c>
    </row>
    <row r="8" customFormat="false" ht="15" hidden="false" customHeight="false" outlineLevel="0" collapsed="false">
      <c r="A8" s="7" t="s">
        <v>10</v>
      </c>
      <c r="B8" s="8" t="n">
        <v>25000</v>
      </c>
      <c r="C8" s="9" t="s">
        <v>11</v>
      </c>
    </row>
    <row r="9" customFormat="false" ht="15" hidden="false" customHeight="false" outlineLevel="0" collapsed="false">
      <c r="A9" s="7" t="s">
        <v>12</v>
      </c>
      <c r="B9" s="8" t="n">
        <v>12500</v>
      </c>
      <c r="C9" s="9" t="s">
        <v>13</v>
      </c>
    </row>
    <row r="10" customFormat="false" ht="15" hidden="false" customHeight="false" outlineLevel="0" collapsed="false">
      <c r="A10" s="7" t="s">
        <v>14</v>
      </c>
      <c r="B10" s="10" t="s">
        <v>15</v>
      </c>
      <c r="C10" s="9" t="s">
        <v>16</v>
      </c>
    </row>
    <row r="12" customFormat="false" ht="18" hidden="false" customHeight="true" outlineLevel="0" collapsed="false">
      <c r="A12" s="6" t="s">
        <v>17</v>
      </c>
      <c r="B12" s="6"/>
      <c r="C12" s="6"/>
    </row>
    <row r="13" customFormat="false" ht="15" hidden="false" customHeight="false" outlineLevel="0" collapsed="false">
      <c r="A13" s="7" t="s">
        <v>18</v>
      </c>
      <c r="B13" s="11" t="n">
        <v>0</v>
      </c>
      <c r="C13" s="9" t="s">
        <v>19</v>
      </c>
    </row>
    <row r="14" customFormat="false" ht="15" hidden="false" customHeight="false" outlineLevel="0" collapsed="false">
      <c r="A14" s="7" t="s">
        <v>20</v>
      </c>
      <c r="B14" s="12" t="s">
        <v>21</v>
      </c>
      <c r="C14" s="9" t="s">
        <v>22</v>
      </c>
    </row>
    <row r="15" customFormat="false" ht="15" hidden="false" customHeight="false" outlineLevel="0" collapsed="false">
      <c r="A15" s="7" t="s">
        <v>23</v>
      </c>
      <c r="B15" s="12" t="s">
        <v>24</v>
      </c>
      <c r="C15" s="9" t="s">
        <v>25</v>
      </c>
    </row>
    <row r="16" customFormat="false" ht="15" hidden="false" customHeight="false" outlineLevel="0" collapsed="false">
      <c r="A16" s="7" t="s">
        <v>26</v>
      </c>
      <c r="B16" s="12" t="s">
        <v>27</v>
      </c>
      <c r="C16" s="9" t="s">
        <v>28</v>
      </c>
    </row>
    <row r="17" customFormat="false" ht="15" hidden="false" customHeight="false" outlineLevel="0" collapsed="false">
      <c r="A17" s="7" t="s">
        <v>29</v>
      </c>
      <c r="B17" s="12" t="s">
        <v>30</v>
      </c>
      <c r="C17" s="9" t="s">
        <v>31</v>
      </c>
    </row>
    <row r="18" customFormat="false" ht="15" hidden="false" customHeight="false" outlineLevel="0" collapsed="false">
      <c r="A18" s="7" t="s">
        <v>32</v>
      </c>
      <c r="B18" s="12" t="s">
        <v>24</v>
      </c>
      <c r="C18" s="9" t="s">
        <v>33</v>
      </c>
    </row>
    <row r="19" customFormat="false" ht="15" hidden="false" customHeight="false" outlineLevel="0" collapsed="false">
      <c r="A19" s="7" t="s">
        <v>34</v>
      </c>
      <c r="B19" s="12" t="s">
        <v>35</v>
      </c>
      <c r="C19" s="9" t="s">
        <v>36</v>
      </c>
    </row>
    <row r="20" customFormat="false" ht="15" hidden="false" customHeight="false" outlineLevel="0" collapsed="false">
      <c r="A20" s="7" t="s">
        <v>37</v>
      </c>
      <c r="B20" s="12" t="s">
        <v>38</v>
      </c>
      <c r="C20" s="9" t="s">
        <v>39</v>
      </c>
    </row>
    <row r="22" customFormat="false" ht="18" hidden="false" customHeight="true" outlineLevel="0" collapsed="false">
      <c r="A22" s="6" t="s">
        <v>40</v>
      </c>
      <c r="B22" s="6"/>
      <c r="C22" s="6"/>
    </row>
    <row r="23" customFormat="false" ht="15" hidden="false" customHeight="false" outlineLevel="0" collapsed="false">
      <c r="A23" s="7" t="s">
        <v>41</v>
      </c>
      <c r="B23" s="8" t="n">
        <v>1836</v>
      </c>
      <c r="C23" s="9" t="s">
        <v>42</v>
      </c>
    </row>
    <row r="24" customFormat="false" ht="15" hidden="false" customHeight="false" outlineLevel="0" collapsed="false">
      <c r="A24" s="7" t="s">
        <v>43</v>
      </c>
      <c r="B24" s="8" t="n">
        <v>9000</v>
      </c>
      <c r="C24" s="9" t="s">
        <v>44</v>
      </c>
    </row>
    <row r="25" customFormat="false" ht="15" hidden="false" customHeight="false" outlineLevel="0" collapsed="false">
      <c r="A25" s="7" t="s">
        <v>45</v>
      </c>
      <c r="B25" s="8" t="n">
        <v>4500</v>
      </c>
      <c r="C25" s="9" t="s">
        <v>46</v>
      </c>
    </row>
    <row r="26" customFormat="false" ht="15" hidden="false" customHeight="false" outlineLevel="0" collapsed="false">
      <c r="A26" s="7" t="s">
        <v>47</v>
      </c>
      <c r="B26" s="8" t="n">
        <v>300</v>
      </c>
      <c r="C26" s="9" t="s">
        <v>48</v>
      </c>
    </row>
    <row r="27" customFormat="false" ht="15" hidden="false" customHeight="false" outlineLevel="0" collapsed="false">
      <c r="A27" s="7" t="s">
        <v>49</v>
      </c>
      <c r="B27" s="8" t="n">
        <v>200</v>
      </c>
      <c r="C27" s="9" t="s">
        <v>48</v>
      </c>
    </row>
    <row r="28" customFormat="false" ht="15" hidden="false" customHeight="false" outlineLevel="0" collapsed="false">
      <c r="A28" s="7" t="s">
        <v>50</v>
      </c>
      <c r="B28" s="8" t="n">
        <v>500</v>
      </c>
      <c r="C28" s="9" t="s">
        <v>51</v>
      </c>
    </row>
    <row r="29" customFormat="false" ht="15" hidden="false" customHeight="false" outlineLevel="0" collapsed="false">
      <c r="A29" s="7" t="s">
        <v>52</v>
      </c>
      <c r="B29" s="8" t="n">
        <v>11836</v>
      </c>
      <c r="C29" s="9" t="s">
        <v>53</v>
      </c>
    </row>
    <row r="30" customFormat="false" ht="15" hidden="false" customHeight="false" outlineLevel="0" collapsed="false">
      <c r="A30" s="7" t="s">
        <v>54</v>
      </c>
      <c r="B30" s="12" t="s">
        <v>55</v>
      </c>
      <c r="C30" s="9" t="s">
        <v>56</v>
      </c>
    </row>
    <row r="31" customFormat="false" ht="15" hidden="false" customHeight="false" outlineLevel="0" collapsed="false">
      <c r="A31" s="7" t="s">
        <v>57</v>
      </c>
      <c r="B31" s="12" t="s">
        <v>58</v>
      </c>
      <c r="C31" s="9" t="s">
        <v>59</v>
      </c>
    </row>
    <row r="33" customFormat="false" ht="18" hidden="false" customHeight="true" outlineLevel="0" collapsed="false">
      <c r="A33" s="6" t="s">
        <v>60</v>
      </c>
      <c r="B33" s="6"/>
      <c r="C33" s="6"/>
    </row>
    <row r="34" customFormat="false" ht="15" hidden="false" customHeight="false" outlineLevel="0" collapsed="false">
      <c r="A34" s="7" t="s">
        <v>61</v>
      </c>
      <c r="B34" s="8" t="n">
        <v>300000</v>
      </c>
      <c r="C34" s="9" t="s">
        <v>62</v>
      </c>
    </row>
    <row r="35" customFormat="false" ht="15" hidden="false" customHeight="false" outlineLevel="0" collapsed="false">
      <c r="A35" s="7" t="s">
        <v>63</v>
      </c>
      <c r="B35" s="8" t="n">
        <v>150000</v>
      </c>
      <c r="C35" s="9" t="s">
        <v>64</v>
      </c>
    </row>
    <row r="36" customFormat="false" ht="15" hidden="false" customHeight="false" outlineLevel="0" collapsed="false">
      <c r="A36" s="7" t="s">
        <v>65</v>
      </c>
      <c r="B36" s="8" t="n">
        <v>50000</v>
      </c>
      <c r="C36" s="9" t="s">
        <v>66</v>
      </c>
    </row>
    <row r="37" customFormat="false" ht="15" hidden="false" customHeight="false" outlineLevel="0" collapsed="false">
      <c r="A37" s="7" t="s">
        <v>67</v>
      </c>
      <c r="B37" s="8" t="n">
        <v>75000</v>
      </c>
      <c r="C37" s="9" t="s">
        <v>68</v>
      </c>
    </row>
    <row r="38" customFormat="false" ht="15" hidden="false" customHeight="false" outlineLevel="0" collapsed="false">
      <c r="A38" s="7" t="s">
        <v>69</v>
      </c>
      <c r="B38" s="8" t="n">
        <v>25000</v>
      </c>
      <c r="C38" s="9" t="s">
        <v>70</v>
      </c>
    </row>
    <row r="39" customFormat="false" ht="15" hidden="false" customHeight="false" outlineLevel="0" collapsed="false">
      <c r="A39" s="7" t="s">
        <v>71</v>
      </c>
      <c r="B39" s="8" t="n">
        <v>25000</v>
      </c>
      <c r="C39" s="9" t="s">
        <v>72</v>
      </c>
    </row>
    <row r="40" customFormat="false" ht="15" hidden="false" customHeight="false" outlineLevel="0" collapsed="false">
      <c r="A40" s="13" t="s">
        <v>73</v>
      </c>
      <c r="B40" s="14" t="n">
        <v>625000</v>
      </c>
      <c r="C40" s="9" t="s">
        <v>74</v>
      </c>
    </row>
    <row r="42" customFormat="false" ht="18" hidden="false" customHeight="true" outlineLevel="0" collapsed="false">
      <c r="A42" s="6" t="s">
        <v>75</v>
      </c>
      <c r="B42" s="6"/>
      <c r="C42" s="6"/>
    </row>
    <row r="43" customFormat="false" ht="15" hidden="false" customHeight="false" outlineLevel="0" collapsed="false">
      <c r="A43" s="7" t="s">
        <v>76</v>
      </c>
      <c r="B43" s="15" t="n">
        <v>12500</v>
      </c>
      <c r="C43" s="9" t="s">
        <v>77</v>
      </c>
    </row>
    <row r="44" customFormat="false" ht="15" hidden="false" customHeight="false" outlineLevel="0" collapsed="false">
      <c r="A44" s="7" t="s">
        <v>78</v>
      </c>
      <c r="B44" s="16" t="n">
        <v>18</v>
      </c>
      <c r="C44" s="9" t="s">
        <v>79</v>
      </c>
    </row>
    <row r="45" customFormat="false" ht="15" hidden="false" customHeight="false" outlineLevel="0" collapsed="false">
      <c r="A45" s="7" t="s">
        <v>80</v>
      </c>
      <c r="B45" s="15" t="n">
        <v>225000</v>
      </c>
      <c r="C45" s="9" t="s">
        <v>81</v>
      </c>
    </row>
    <row r="46" customFormat="false" ht="15" hidden="false" customHeight="false" outlineLevel="0" collapsed="false">
      <c r="A46" s="7" t="s">
        <v>82</v>
      </c>
      <c r="B46" s="15" t="n">
        <v>70000</v>
      </c>
      <c r="C46" s="9" t="s">
        <v>83</v>
      </c>
    </row>
    <row r="47" customFormat="false" ht="15" hidden="false" customHeight="false" outlineLevel="0" collapsed="false">
      <c r="A47" s="7" t="s">
        <v>84</v>
      </c>
      <c r="B47" s="16" t="s">
        <v>85</v>
      </c>
      <c r="C47" s="9" t="s">
        <v>86</v>
      </c>
    </row>
    <row r="48" customFormat="false" ht="15" hidden="false" customHeight="false" outlineLevel="0" collapsed="false">
      <c r="A48" s="7" t="s">
        <v>87</v>
      </c>
      <c r="B48" s="17" t="n">
        <v>5.6</v>
      </c>
      <c r="C48" s="9" t="s">
        <v>88</v>
      </c>
    </row>
    <row r="49" customFormat="false" ht="15" hidden="false" customHeight="false" outlineLevel="0" collapsed="false">
      <c r="A49" s="7" t="s">
        <v>89</v>
      </c>
      <c r="B49" s="16" t="n">
        <v>44</v>
      </c>
      <c r="C49" s="9" t="s">
        <v>90</v>
      </c>
    </row>
  </sheetData>
  <mergeCells count="7">
    <mergeCell ref="A1:C1"/>
    <mergeCell ref="A2:C2"/>
    <mergeCell ref="A5:C5"/>
    <mergeCell ref="A12:C12"/>
    <mergeCell ref="A22:C22"/>
    <mergeCell ref="A33:C33"/>
    <mergeCell ref="A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1" min="2" style="0" width="10"/>
  </cols>
  <sheetData>
    <row r="1" customFormat="false" ht="27.75" hidden="false" customHeight="true" outlineLevel="0" collapsed="false">
      <c r="A1" s="18" t="s">
        <v>91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customFormat="false" ht="15" hidden="false" customHeight="false" outlineLevel="0" collapsed="false">
      <c r="A2" s="19" t="s">
        <v>92</v>
      </c>
      <c r="B2" s="20" t="s">
        <v>93</v>
      </c>
      <c r="C2" s="20" t="s">
        <v>94</v>
      </c>
      <c r="D2" s="20" t="s">
        <v>95</v>
      </c>
      <c r="E2" s="20" t="s">
        <v>96</v>
      </c>
      <c r="F2" s="20" t="s">
        <v>97</v>
      </c>
      <c r="G2" s="20" t="s">
        <v>98</v>
      </c>
      <c r="H2" s="20" t="s">
        <v>99</v>
      </c>
      <c r="I2" s="20" t="s">
        <v>100</v>
      </c>
      <c r="J2" s="20" t="s">
        <v>101</v>
      </c>
      <c r="K2" s="20" t="s">
        <v>102</v>
      </c>
      <c r="L2" s="20" t="s">
        <v>103</v>
      </c>
      <c r="M2" s="20" t="s">
        <v>104</v>
      </c>
      <c r="N2" s="20" t="s">
        <v>105</v>
      </c>
      <c r="O2" s="20" t="s">
        <v>106</v>
      </c>
      <c r="P2" s="20" t="s">
        <v>107</v>
      </c>
      <c r="Q2" s="20" t="s">
        <v>108</v>
      </c>
      <c r="R2" s="20" t="s">
        <v>109</v>
      </c>
      <c r="S2" s="20" t="s">
        <v>110</v>
      </c>
    </row>
    <row r="3" customFormat="false" ht="15" hidden="false" customHeight="false" outlineLevel="0" collapsed="false">
      <c r="A3" s="19"/>
    </row>
    <row r="4" customFormat="false" ht="18" hidden="false" customHeight="true" outlineLevel="0" collapsed="false">
      <c r="A4" s="21" t="s">
        <v>111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customFormat="false" ht="15.75" hidden="false" customHeight="true" outlineLevel="0" collapsed="false">
      <c r="A5" s="22" t="s">
        <v>112</v>
      </c>
      <c r="B5" s="23" t="n">
        <v>0</v>
      </c>
      <c r="C5" s="23" t="n">
        <v>0</v>
      </c>
      <c r="D5" s="23" t="n">
        <v>5</v>
      </c>
      <c r="E5" s="24" t="n">
        <f aca="false">ROUND(D5*0.08,0)</f>
        <v>0</v>
      </c>
      <c r="F5" s="24" t="n">
        <f aca="false">ROUND(E5*0.08,0)</f>
        <v>0</v>
      </c>
      <c r="G5" s="24" t="n">
        <f aca="false">ROUND(F5*0.08,0)</f>
        <v>0</v>
      </c>
      <c r="H5" s="24" t="n">
        <f aca="false">ROUND(G5*0.08,0)</f>
        <v>0</v>
      </c>
      <c r="I5" s="24" t="n">
        <f aca="false">ROUND(H5*0.08,0)</f>
        <v>0</v>
      </c>
      <c r="J5" s="24" t="n">
        <f aca="false">ROUND(I5*0.08,0)</f>
        <v>0</v>
      </c>
      <c r="K5" s="24" t="n">
        <f aca="false">ROUND(J5*0.08,0)</f>
        <v>0</v>
      </c>
      <c r="L5" s="24" t="n">
        <f aca="false">ROUND(K5*0.08,0)</f>
        <v>0</v>
      </c>
      <c r="M5" s="24" t="n">
        <f aca="false">ROUND(L5*0.08,0)</f>
        <v>0</v>
      </c>
      <c r="N5" s="24" t="n">
        <f aca="false">ROUND(M5*0.08,0)</f>
        <v>0</v>
      </c>
      <c r="O5" s="24" t="n">
        <f aca="false">ROUND(N5*0.08,0)</f>
        <v>0</v>
      </c>
      <c r="P5" s="24" t="n">
        <f aca="false">ROUND(O5*0.08,0)</f>
        <v>0</v>
      </c>
      <c r="Q5" s="24" t="n">
        <f aca="false">ROUND(P5*0.08,0)</f>
        <v>0</v>
      </c>
      <c r="R5" s="24" t="n">
        <f aca="false">ROUND(Q5*0.08,0)</f>
        <v>0</v>
      </c>
      <c r="S5" s="24" t="n">
        <f aca="false">ROUND(R5*0.08,0)</f>
        <v>0</v>
      </c>
    </row>
    <row r="6" customFormat="false" ht="15.75" hidden="false" customHeight="true" outlineLevel="0" collapsed="false">
      <c r="A6" s="22" t="s">
        <v>113</v>
      </c>
      <c r="B6" s="24" t="n">
        <v>0</v>
      </c>
      <c r="C6" s="24" t="n">
        <f aca="false">ROUND(B6*0.08,0)</f>
        <v>0</v>
      </c>
      <c r="D6" s="24" t="n">
        <f aca="false">ROUND(C6*0.08,0)</f>
        <v>0</v>
      </c>
      <c r="E6" s="24" t="n">
        <f aca="false">ROUND(D6*0.08,0)</f>
        <v>0</v>
      </c>
      <c r="F6" s="24" t="n">
        <f aca="false">ROUND(E6*0.08,0)</f>
        <v>0</v>
      </c>
      <c r="G6" s="24" t="n">
        <f aca="false">ROUND(F6*0.08,0)</f>
        <v>0</v>
      </c>
      <c r="H6" s="24" t="n">
        <f aca="false">ROUND(G6*0.08,0)</f>
        <v>0</v>
      </c>
      <c r="I6" s="24" t="n">
        <f aca="false">ROUND(H6*0.08,0)</f>
        <v>0</v>
      </c>
      <c r="J6" s="24" t="n">
        <f aca="false">ROUND(I6*0.08,0)</f>
        <v>0</v>
      </c>
      <c r="K6" s="24" t="n">
        <f aca="false">ROUND(J6*0.08,0)</f>
        <v>0</v>
      </c>
      <c r="L6" s="24" t="n">
        <f aca="false">ROUND(K6*0.08,0)</f>
        <v>0</v>
      </c>
      <c r="M6" s="24" t="n">
        <f aca="false">ROUND(L6*0.08,0)</f>
        <v>0</v>
      </c>
      <c r="N6" s="24" t="n">
        <f aca="false">ROUND(M6*0.08,0)</f>
        <v>0</v>
      </c>
      <c r="O6" s="24" t="n">
        <f aca="false">ROUND(N6*0.08,0)</f>
        <v>0</v>
      </c>
      <c r="P6" s="24" t="n">
        <f aca="false">ROUND(O6*0.08,0)</f>
        <v>0</v>
      </c>
      <c r="Q6" s="24" t="n">
        <f aca="false">ROUND(P6*0.08,0)</f>
        <v>0</v>
      </c>
      <c r="R6" s="24" t="n">
        <f aca="false">ROUND(Q6*0.08,0)</f>
        <v>0</v>
      </c>
      <c r="S6" s="24" t="n">
        <f aca="false">ROUND(R6*0.08,0)</f>
        <v>0</v>
      </c>
    </row>
    <row r="7" customFormat="false" ht="15.75" hidden="false" customHeight="true" outlineLevel="0" collapsed="false">
      <c r="A7" s="25" t="s">
        <v>114</v>
      </c>
      <c r="B7" s="26" t="n">
        <v>0</v>
      </c>
      <c r="C7" s="26" t="n">
        <f aca="false">MAX(0,B7+C5-C6)</f>
        <v>0</v>
      </c>
      <c r="D7" s="26" t="n">
        <f aca="false">MAX(0,C7+D5-D6)</f>
        <v>5</v>
      </c>
      <c r="E7" s="26" t="n">
        <f aca="false">MAX(0,D7+E5-E6)</f>
        <v>5</v>
      </c>
      <c r="F7" s="26" t="n">
        <f aca="false">MAX(0,E7+F5-F6)</f>
        <v>5</v>
      </c>
      <c r="G7" s="26" t="n">
        <f aca="false">MAX(0,F7+G5-G6)</f>
        <v>5</v>
      </c>
      <c r="H7" s="26" t="n">
        <f aca="false">MAX(0,G7+H5-H6)</f>
        <v>5</v>
      </c>
      <c r="I7" s="26" t="n">
        <f aca="false">MAX(0,H7+I5-I6)</f>
        <v>5</v>
      </c>
      <c r="J7" s="26" t="n">
        <f aca="false">MAX(0,I7+J5-J6)</f>
        <v>5</v>
      </c>
      <c r="K7" s="26" t="n">
        <f aca="false">MAX(0,J7+K5-K6)</f>
        <v>5</v>
      </c>
      <c r="L7" s="26" t="n">
        <f aca="false">MAX(0,K7+L5-L6)</f>
        <v>5</v>
      </c>
      <c r="M7" s="26" t="n">
        <f aca="false">MAX(0,L7+M5-M6)</f>
        <v>5</v>
      </c>
      <c r="N7" s="26" t="n">
        <f aca="false">MAX(0,M7+N5-N6)</f>
        <v>5</v>
      </c>
      <c r="O7" s="26" t="n">
        <f aca="false">MAX(0,N7+O5-O6)</f>
        <v>5</v>
      </c>
      <c r="P7" s="26" t="n">
        <f aca="false">MAX(0,O7+P5-P6)</f>
        <v>5</v>
      </c>
      <c r="Q7" s="26" t="n">
        <f aca="false">MAX(0,P7+Q5-Q6)</f>
        <v>5</v>
      </c>
      <c r="R7" s="26" t="n">
        <f aca="false">MAX(0,Q7+R5-R6)</f>
        <v>5</v>
      </c>
      <c r="S7" s="26" t="n">
        <f aca="false">MAX(0,R7+S5-S6)</f>
        <v>5</v>
      </c>
    </row>
    <row r="8" customFormat="false" ht="15.75" hidden="false" customHeight="true" outlineLevel="0" collapsed="false">
      <c r="A8" s="25" t="s">
        <v>115</v>
      </c>
      <c r="B8" s="27" t="n">
        <f aca="false">B7*12500</f>
        <v>0</v>
      </c>
      <c r="C8" s="27" t="n">
        <f aca="false">C7*12500</f>
        <v>0</v>
      </c>
      <c r="D8" s="27" t="n">
        <f aca="false">D7*12500</f>
        <v>62500</v>
      </c>
      <c r="E8" s="27" t="n">
        <f aca="false">E7*12500</f>
        <v>62500</v>
      </c>
      <c r="F8" s="27" t="n">
        <f aca="false">F7*12500</f>
        <v>62500</v>
      </c>
      <c r="G8" s="27" t="n">
        <f aca="false">G7*12500</f>
        <v>62500</v>
      </c>
      <c r="H8" s="27" t="n">
        <f aca="false">H7*12500</f>
        <v>62500</v>
      </c>
      <c r="I8" s="27" t="n">
        <f aca="false">I7*12500</f>
        <v>62500</v>
      </c>
      <c r="J8" s="27" t="n">
        <f aca="false">J7*12500</f>
        <v>62500</v>
      </c>
      <c r="K8" s="27" t="n">
        <f aca="false">K7*12500</f>
        <v>62500</v>
      </c>
      <c r="L8" s="27" t="n">
        <f aca="false">L7*12500</f>
        <v>62500</v>
      </c>
      <c r="M8" s="27" t="n">
        <f aca="false">M7*12500</f>
        <v>62500</v>
      </c>
      <c r="N8" s="27" t="n">
        <f aca="false">N7*12500</f>
        <v>62500</v>
      </c>
      <c r="O8" s="27" t="n">
        <f aca="false">O7*12500</f>
        <v>62500</v>
      </c>
      <c r="P8" s="27" t="n">
        <f aca="false">P7*12500</f>
        <v>62500</v>
      </c>
      <c r="Q8" s="27" t="n">
        <f aca="false">Q7*12500</f>
        <v>62500</v>
      </c>
      <c r="R8" s="27" t="n">
        <f aca="false">R7*12500</f>
        <v>62500</v>
      </c>
      <c r="S8" s="27" t="n">
        <f aca="false">S7*12500</f>
        <v>62500</v>
      </c>
    </row>
    <row r="9" customFormat="false" ht="15.75" hidden="false" customHeight="true" outlineLevel="0" collapsed="false">
      <c r="A9" s="22" t="s">
        <v>116</v>
      </c>
      <c r="B9" s="28" t="n">
        <f aca="false">B7*9836</f>
        <v>0</v>
      </c>
      <c r="C9" s="28" t="n">
        <f aca="false">C7*9836</f>
        <v>0</v>
      </c>
      <c r="D9" s="28" t="n">
        <f aca="false">D7*9836</f>
        <v>49180</v>
      </c>
      <c r="E9" s="28" t="n">
        <f aca="false">E7*9836</f>
        <v>49180</v>
      </c>
      <c r="F9" s="28" t="n">
        <f aca="false">F7*9836</f>
        <v>49180</v>
      </c>
      <c r="G9" s="28" t="n">
        <f aca="false">G7*9836</f>
        <v>49180</v>
      </c>
      <c r="H9" s="28" t="n">
        <f aca="false">H7*9836</f>
        <v>49180</v>
      </c>
      <c r="I9" s="28" t="n">
        <f aca="false">I7*9836</f>
        <v>49180</v>
      </c>
      <c r="J9" s="28" t="n">
        <f aca="false">J7*9836</f>
        <v>49180</v>
      </c>
      <c r="K9" s="28" t="n">
        <f aca="false">K7*9836</f>
        <v>49180</v>
      </c>
      <c r="L9" s="28" t="n">
        <f aca="false">L7*9836</f>
        <v>49180</v>
      </c>
      <c r="M9" s="28" t="n">
        <f aca="false">M7*9836</f>
        <v>49180</v>
      </c>
      <c r="N9" s="28" t="n">
        <f aca="false">N7*9836</f>
        <v>49180</v>
      </c>
      <c r="O9" s="28" t="n">
        <f aca="false">O7*9836</f>
        <v>49180</v>
      </c>
      <c r="P9" s="28" t="n">
        <f aca="false">P7*9836</f>
        <v>49180</v>
      </c>
      <c r="Q9" s="28" t="n">
        <f aca="false">Q7*9836</f>
        <v>49180</v>
      </c>
      <c r="R9" s="28" t="n">
        <f aca="false">R7*9836</f>
        <v>49180</v>
      </c>
      <c r="S9" s="28" t="n">
        <f aca="false">S7*9836</f>
        <v>49180</v>
      </c>
    </row>
    <row r="10" customFormat="false" ht="15.75" hidden="false" customHeight="true" outlineLevel="0" collapsed="false">
      <c r="A10" s="22" t="s">
        <v>117</v>
      </c>
      <c r="B10" s="29" t="n">
        <f aca="false">B8-B9</f>
        <v>0</v>
      </c>
      <c r="C10" s="29" t="n">
        <f aca="false">C8-C9</f>
        <v>0</v>
      </c>
      <c r="D10" s="29" t="n">
        <f aca="false">D8-D9</f>
        <v>13320</v>
      </c>
      <c r="E10" s="29" t="n">
        <f aca="false">E8-E9</f>
        <v>13320</v>
      </c>
      <c r="F10" s="29" t="n">
        <f aca="false">F8-F9</f>
        <v>13320</v>
      </c>
      <c r="G10" s="29" t="n">
        <f aca="false">G8-G9</f>
        <v>13320</v>
      </c>
      <c r="H10" s="29" t="n">
        <f aca="false">H8-H9</f>
        <v>13320</v>
      </c>
      <c r="I10" s="29" t="n">
        <f aca="false">I8-I9</f>
        <v>13320</v>
      </c>
      <c r="J10" s="29" t="n">
        <f aca="false">J8-J9</f>
        <v>13320</v>
      </c>
      <c r="K10" s="29" t="n">
        <f aca="false">K8-K9</f>
        <v>13320</v>
      </c>
      <c r="L10" s="29" t="n">
        <f aca="false">L8-L9</f>
        <v>13320</v>
      </c>
      <c r="M10" s="29" t="n">
        <f aca="false">M8-M9</f>
        <v>13320</v>
      </c>
      <c r="N10" s="29" t="n">
        <f aca="false">N8-N9</f>
        <v>13320</v>
      </c>
      <c r="O10" s="29" t="n">
        <f aca="false">O8-O9</f>
        <v>13320</v>
      </c>
      <c r="P10" s="29" t="n">
        <f aca="false">P8-P9</f>
        <v>13320</v>
      </c>
      <c r="Q10" s="29" t="n">
        <f aca="false">Q8-Q9</f>
        <v>13320</v>
      </c>
      <c r="R10" s="29" t="n">
        <f aca="false">R8-R9</f>
        <v>13320</v>
      </c>
      <c r="S10" s="29" t="n">
        <f aca="false">S8-S9</f>
        <v>13320</v>
      </c>
    </row>
    <row r="11" customFormat="false" ht="15.75" hidden="false" customHeight="true" outlineLevel="0" collapsed="false">
      <c r="A11" s="22" t="s">
        <v>118</v>
      </c>
      <c r="B11" s="30" t="n">
        <f aca="false">IF(B8=0,0,B10/B8)</f>
        <v>0</v>
      </c>
      <c r="C11" s="30" t="n">
        <f aca="false">IF(C8=0,0,C10/C8)</f>
        <v>0</v>
      </c>
      <c r="D11" s="30" t="n">
        <f aca="false">IF(D8=0,0,D10/D8)</f>
        <v>0.21312</v>
      </c>
      <c r="E11" s="30" t="n">
        <f aca="false">IF(E8=0,0,E10/E8)</f>
        <v>0.21312</v>
      </c>
      <c r="F11" s="30" t="n">
        <f aca="false">IF(F8=0,0,F10/F8)</f>
        <v>0.21312</v>
      </c>
      <c r="G11" s="30" t="n">
        <f aca="false">IF(G8=0,0,G10/G8)</f>
        <v>0.21312</v>
      </c>
      <c r="H11" s="30" t="n">
        <f aca="false">IF(H8=0,0,H10/H8)</f>
        <v>0.21312</v>
      </c>
      <c r="I11" s="30" t="n">
        <f aca="false">IF(I8=0,0,I10/I8)</f>
        <v>0.21312</v>
      </c>
      <c r="J11" s="30" t="n">
        <f aca="false">IF(J8=0,0,J10/J8)</f>
        <v>0.21312</v>
      </c>
      <c r="K11" s="30" t="n">
        <f aca="false">IF(K8=0,0,K10/K8)</f>
        <v>0.21312</v>
      </c>
      <c r="L11" s="30" t="n">
        <f aca="false">IF(L8=0,0,L10/L8)</f>
        <v>0.21312</v>
      </c>
      <c r="M11" s="30" t="n">
        <f aca="false">IF(M8=0,0,M10/M8)</f>
        <v>0.21312</v>
      </c>
      <c r="N11" s="30" t="n">
        <f aca="false">IF(N8=0,0,N10/N8)</f>
        <v>0.21312</v>
      </c>
      <c r="O11" s="30" t="n">
        <f aca="false">IF(O8=0,0,O10/O8)</f>
        <v>0.21312</v>
      </c>
      <c r="P11" s="30" t="n">
        <f aca="false">IF(P8=0,0,P10/P8)</f>
        <v>0.21312</v>
      </c>
      <c r="Q11" s="30" t="n">
        <f aca="false">IF(Q8=0,0,Q10/Q8)</f>
        <v>0.21312</v>
      </c>
      <c r="R11" s="30" t="n">
        <f aca="false">IF(R8=0,0,R10/R8)</f>
        <v>0.21312</v>
      </c>
      <c r="S11" s="30" t="n">
        <f aca="false">IF(S8=0,0,S10/S8)</f>
        <v>0.21312</v>
      </c>
    </row>
    <row r="12" customFormat="false" ht="15.75" hidden="false" customHeight="true" outlineLevel="0" collapsed="false">
      <c r="A12" s="22" t="s">
        <v>119</v>
      </c>
      <c r="B12" s="31" t="n">
        <v>625000</v>
      </c>
      <c r="C12" s="31" t="n">
        <v>625000</v>
      </c>
      <c r="D12" s="31" t="n">
        <v>625000</v>
      </c>
      <c r="E12" s="31" t="n">
        <v>625000</v>
      </c>
      <c r="F12" s="31" t="n">
        <v>625000</v>
      </c>
      <c r="G12" s="31" t="n">
        <v>625000</v>
      </c>
      <c r="H12" s="31" t="n">
        <v>625000</v>
      </c>
      <c r="I12" s="31" t="n">
        <v>625000</v>
      </c>
      <c r="J12" s="31" t="n">
        <v>625000</v>
      </c>
      <c r="K12" s="31" t="n">
        <v>625000</v>
      </c>
      <c r="L12" s="31" t="n">
        <v>625000</v>
      </c>
      <c r="M12" s="31" t="n">
        <v>625000</v>
      </c>
      <c r="N12" s="31" t="n">
        <v>625000</v>
      </c>
      <c r="O12" s="31" t="n">
        <v>625000</v>
      </c>
      <c r="P12" s="31" t="n">
        <v>625000</v>
      </c>
      <c r="Q12" s="31" t="n">
        <v>625000</v>
      </c>
      <c r="R12" s="31" t="n">
        <v>625000</v>
      </c>
      <c r="S12" s="31" t="n">
        <v>625000</v>
      </c>
    </row>
    <row r="13" customFormat="false" ht="15.75" hidden="false" customHeight="true" outlineLevel="0" collapsed="false">
      <c r="A13" s="25" t="s">
        <v>120</v>
      </c>
      <c r="B13" s="27" t="n">
        <f aca="false">B10-B12</f>
        <v>-625000</v>
      </c>
      <c r="C13" s="27" t="n">
        <f aca="false">C10-C12</f>
        <v>-625000</v>
      </c>
      <c r="D13" s="27" t="n">
        <f aca="false">D10-D12</f>
        <v>-611680</v>
      </c>
      <c r="E13" s="27" t="n">
        <f aca="false">E10-E12</f>
        <v>-611680</v>
      </c>
      <c r="F13" s="27" t="n">
        <f aca="false">F10-F12</f>
        <v>-611680</v>
      </c>
      <c r="G13" s="27" t="n">
        <f aca="false">G10-G12</f>
        <v>-611680</v>
      </c>
      <c r="H13" s="27" t="n">
        <f aca="false">H10-H12</f>
        <v>-611680</v>
      </c>
      <c r="I13" s="27" t="n">
        <f aca="false">I10-I12</f>
        <v>-611680</v>
      </c>
      <c r="J13" s="27" t="n">
        <f aca="false">J10-J12</f>
        <v>-611680</v>
      </c>
      <c r="K13" s="27" t="n">
        <f aca="false">K10-K12</f>
        <v>-611680</v>
      </c>
      <c r="L13" s="27" t="n">
        <f aca="false">L10-L12</f>
        <v>-611680</v>
      </c>
      <c r="M13" s="27" t="n">
        <f aca="false">M10-M12</f>
        <v>-611680</v>
      </c>
      <c r="N13" s="27" t="n">
        <f aca="false">N10-N12</f>
        <v>-611680</v>
      </c>
      <c r="O13" s="27" t="n">
        <f aca="false">O10-O12</f>
        <v>-611680</v>
      </c>
      <c r="P13" s="27" t="n">
        <f aca="false">P10-P12</f>
        <v>-611680</v>
      </c>
      <c r="Q13" s="27" t="n">
        <f aca="false">Q10-Q12</f>
        <v>-611680</v>
      </c>
      <c r="R13" s="27" t="n">
        <f aca="false">R10-R12</f>
        <v>-611680</v>
      </c>
      <c r="S13" s="27" t="n">
        <f aca="false">S10-S12</f>
        <v>-611680</v>
      </c>
    </row>
    <row r="14" customFormat="false" ht="15.75" hidden="false" customHeight="true" outlineLevel="0" collapsed="false">
      <c r="A14" s="22" t="s">
        <v>121</v>
      </c>
      <c r="B14" s="24" t="n">
        <f aca="false">B7</f>
        <v>0</v>
      </c>
      <c r="C14" s="24" t="n">
        <f aca="false">MAX(0,B14+C5-C6)</f>
        <v>0</v>
      </c>
      <c r="D14" s="24" t="n">
        <f aca="false">MAX(0,C14+D5-D6)</f>
        <v>5</v>
      </c>
      <c r="E14" s="24" t="n">
        <f aca="false">MAX(0,D14+E5-E6)</f>
        <v>5</v>
      </c>
      <c r="F14" s="24" t="n">
        <f aca="false">MAX(0,E14+F5-F6)</f>
        <v>5</v>
      </c>
      <c r="G14" s="24" t="n">
        <f aca="false">MAX(0,F14+G5-G6)</f>
        <v>5</v>
      </c>
      <c r="H14" s="24" t="n">
        <f aca="false">MAX(0,G14+H5-H6)</f>
        <v>5</v>
      </c>
      <c r="I14" s="24" t="n">
        <f aca="false">MAX(0,H14+I5-I6)</f>
        <v>5</v>
      </c>
      <c r="J14" s="24" t="n">
        <f aca="false">MAX(0,I14+J5-J6)</f>
        <v>5</v>
      </c>
      <c r="K14" s="24" t="n">
        <f aca="false">MAX(0,J14+K5-K6)</f>
        <v>5</v>
      </c>
      <c r="L14" s="24" t="n">
        <f aca="false">MAX(0,K14+L5-L6)</f>
        <v>5</v>
      </c>
      <c r="M14" s="24" t="n">
        <f aca="false">MAX(0,L14+M5-M6)</f>
        <v>5</v>
      </c>
      <c r="N14" s="24" t="n">
        <f aca="false">MAX(0,M14+N5-N6)</f>
        <v>5</v>
      </c>
      <c r="O14" s="24" t="n">
        <f aca="false">MAX(0,N14+O5-O6)</f>
        <v>5</v>
      </c>
      <c r="P14" s="24" t="n">
        <f aca="false">MAX(0,O14+P5-P6)</f>
        <v>5</v>
      </c>
      <c r="Q14" s="24" t="n">
        <f aca="false">MAX(0,P14+Q5-Q6)</f>
        <v>5</v>
      </c>
      <c r="R14" s="24" t="n">
        <f aca="false">MAX(0,Q14+R5-R6)</f>
        <v>5</v>
      </c>
      <c r="S14" s="24" t="n">
        <f aca="false">MAX(0,R14+S5-S6)</f>
        <v>5</v>
      </c>
    </row>
    <row r="15" customFormat="false" ht="15.75" hidden="false" customHeight="true" outlineLevel="0" collapsed="false">
      <c r="A15" s="25" t="s">
        <v>122</v>
      </c>
      <c r="B15" s="29" t="n">
        <f aca="false">B8</f>
        <v>0</v>
      </c>
      <c r="C15" s="29" t="n">
        <f aca="false">C8</f>
        <v>0</v>
      </c>
      <c r="D15" s="29" t="n">
        <f aca="false">D8</f>
        <v>62500</v>
      </c>
      <c r="E15" s="29" t="n">
        <f aca="false">E8</f>
        <v>62500</v>
      </c>
      <c r="F15" s="29" t="n">
        <f aca="false">F8</f>
        <v>62500</v>
      </c>
      <c r="G15" s="29" t="n">
        <f aca="false">G8</f>
        <v>62500</v>
      </c>
      <c r="H15" s="29" t="n">
        <f aca="false">H8</f>
        <v>62500</v>
      </c>
      <c r="I15" s="29" t="n">
        <f aca="false">I8</f>
        <v>62500</v>
      </c>
      <c r="J15" s="29" t="n">
        <f aca="false">J8</f>
        <v>62500</v>
      </c>
      <c r="K15" s="29" t="n">
        <f aca="false">K8</f>
        <v>62500</v>
      </c>
      <c r="L15" s="29" t="n">
        <f aca="false">L8</f>
        <v>62500</v>
      </c>
      <c r="M15" s="29" t="n">
        <f aca="false">M8</f>
        <v>62500</v>
      </c>
      <c r="N15" s="29" t="n">
        <f aca="false">N8</f>
        <v>62500</v>
      </c>
      <c r="O15" s="29" t="n">
        <f aca="false">O8</f>
        <v>62500</v>
      </c>
      <c r="P15" s="29" t="n">
        <f aca="false">P8</f>
        <v>62500</v>
      </c>
      <c r="Q15" s="29" t="n">
        <f aca="false">Q8</f>
        <v>62500</v>
      </c>
      <c r="R15" s="29" t="n">
        <f aca="false">R8</f>
        <v>62500</v>
      </c>
      <c r="S15" s="29" t="n">
        <f aca="false">S8</f>
        <v>62500</v>
      </c>
    </row>
    <row r="16" customFormat="false" ht="7.5" hidden="false" customHeight="true" outlineLevel="0" collapsed="false"/>
    <row r="17" customFormat="false" ht="18" hidden="false" customHeight="true" outlineLevel="0" collapsed="false">
      <c r="A17" s="32" t="s">
        <v>123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customFormat="false" ht="15.75" hidden="false" customHeight="true" outlineLevel="0" collapsed="false">
      <c r="A18" s="22" t="s">
        <v>112</v>
      </c>
      <c r="B18" s="23" t="n">
        <v>0</v>
      </c>
      <c r="C18" s="23" t="n">
        <v>0</v>
      </c>
      <c r="D18" s="23" t="n">
        <v>5</v>
      </c>
      <c r="E18" s="24" t="n">
        <f aca="false">ROUND(D18*0.15,0)</f>
        <v>1</v>
      </c>
      <c r="F18" s="24" t="n">
        <f aca="false">ROUND(E18*0.15,0)</f>
        <v>0</v>
      </c>
      <c r="G18" s="24" t="n">
        <f aca="false">ROUND(F18*0.15,0)</f>
        <v>0</v>
      </c>
      <c r="H18" s="24" t="n">
        <f aca="false">ROUND(G18*0.15,0)</f>
        <v>0</v>
      </c>
      <c r="I18" s="24" t="n">
        <f aca="false">ROUND(H18*0.15,0)</f>
        <v>0</v>
      </c>
      <c r="J18" s="24" t="n">
        <f aca="false">ROUND(I18*0.15,0)</f>
        <v>0</v>
      </c>
      <c r="K18" s="24" t="n">
        <f aca="false">ROUND(J18*0.15,0)</f>
        <v>0</v>
      </c>
      <c r="L18" s="24" t="n">
        <f aca="false">ROUND(K18*0.15,0)</f>
        <v>0</v>
      </c>
      <c r="M18" s="24" t="n">
        <f aca="false">ROUND(L18*0.15,0)</f>
        <v>0</v>
      </c>
      <c r="N18" s="24" t="n">
        <f aca="false">ROUND(M18*0.15,0)</f>
        <v>0</v>
      </c>
      <c r="O18" s="24" t="n">
        <f aca="false">ROUND(N18*0.15,0)</f>
        <v>0</v>
      </c>
      <c r="P18" s="24" t="n">
        <f aca="false">ROUND(O18*0.15,0)</f>
        <v>0</v>
      </c>
      <c r="Q18" s="24" t="n">
        <f aca="false">ROUND(P18*0.15,0)</f>
        <v>0</v>
      </c>
      <c r="R18" s="24" t="n">
        <f aca="false">ROUND(Q18*0.15,0)</f>
        <v>0</v>
      </c>
      <c r="S18" s="24" t="n">
        <f aca="false">ROUND(R18*0.15,0)</f>
        <v>0</v>
      </c>
    </row>
    <row r="19" customFormat="false" ht="15.75" hidden="false" customHeight="true" outlineLevel="0" collapsed="false">
      <c r="A19" s="22" t="s">
        <v>113</v>
      </c>
      <c r="B19" s="24" t="n">
        <v>0</v>
      </c>
      <c r="C19" s="24" t="n">
        <f aca="false">ROUND(B19*0.05,0)</f>
        <v>0</v>
      </c>
      <c r="D19" s="24" t="n">
        <f aca="false">ROUND(C19*0.05,0)</f>
        <v>0</v>
      </c>
      <c r="E19" s="24" t="n">
        <f aca="false">ROUND(D19*0.05,0)</f>
        <v>0</v>
      </c>
      <c r="F19" s="24" t="n">
        <f aca="false">ROUND(E19*0.05,0)</f>
        <v>0</v>
      </c>
      <c r="G19" s="24" t="n">
        <f aca="false">ROUND(F19*0.05,0)</f>
        <v>0</v>
      </c>
      <c r="H19" s="24" t="n">
        <f aca="false">ROUND(G19*0.05,0)</f>
        <v>0</v>
      </c>
      <c r="I19" s="24" t="n">
        <f aca="false">ROUND(H19*0.05,0)</f>
        <v>0</v>
      </c>
      <c r="J19" s="24" t="n">
        <f aca="false">ROUND(I19*0.05,0)</f>
        <v>0</v>
      </c>
      <c r="K19" s="24" t="n">
        <f aca="false">ROUND(J19*0.05,0)</f>
        <v>0</v>
      </c>
      <c r="L19" s="24" t="n">
        <f aca="false">ROUND(K19*0.05,0)</f>
        <v>0</v>
      </c>
      <c r="M19" s="24" t="n">
        <f aca="false">ROUND(L19*0.05,0)</f>
        <v>0</v>
      </c>
      <c r="N19" s="24" t="n">
        <f aca="false">ROUND(M19*0.05,0)</f>
        <v>0</v>
      </c>
      <c r="O19" s="24" t="n">
        <f aca="false">ROUND(N19*0.05,0)</f>
        <v>0</v>
      </c>
      <c r="P19" s="24" t="n">
        <f aca="false">ROUND(O19*0.05,0)</f>
        <v>0</v>
      </c>
      <c r="Q19" s="24" t="n">
        <f aca="false">ROUND(P19*0.05,0)</f>
        <v>0</v>
      </c>
      <c r="R19" s="24" t="n">
        <f aca="false">ROUND(Q19*0.05,0)</f>
        <v>0</v>
      </c>
      <c r="S19" s="24" t="n">
        <f aca="false">ROUND(R19*0.05,0)</f>
        <v>0</v>
      </c>
    </row>
    <row r="20" customFormat="false" ht="15.75" hidden="false" customHeight="true" outlineLevel="0" collapsed="false">
      <c r="A20" s="33" t="s">
        <v>114</v>
      </c>
      <c r="B20" s="34" t="n">
        <v>0</v>
      </c>
      <c r="C20" s="34" t="n">
        <f aca="false">MAX(0,B20+C18-C19)</f>
        <v>0</v>
      </c>
      <c r="D20" s="34" t="n">
        <f aca="false">MAX(0,C20+D18-D19)</f>
        <v>5</v>
      </c>
      <c r="E20" s="34" t="n">
        <f aca="false">MAX(0,D20+E18-E19)</f>
        <v>6</v>
      </c>
      <c r="F20" s="34" t="n">
        <f aca="false">MAX(0,E20+F18-F19)</f>
        <v>6</v>
      </c>
      <c r="G20" s="34" t="n">
        <f aca="false">MAX(0,F20+G18-G19)</f>
        <v>6</v>
      </c>
      <c r="H20" s="34" t="n">
        <f aca="false">MAX(0,G20+H18-H19)</f>
        <v>6</v>
      </c>
      <c r="I20" s="34" t="n">
        <f aca="false">MAX(0,H20+I18-I19)</f>
        <v>6</v>
      </c>
      <c r="J20" s="34" t="n">
        <f aca="false">MAX(0,I20+J18-J19)</f>
        <v>6</v>
      </c>
      <c r="K20" s="34" t="n">
        <f aca="false">MAX(0,J20+K18-K19)</f>
        <v>6</v>
      </c>
      <c r="L20" s="34" t="n">
        <f aca="false">MAX(0,K20+L18-L19)</f>
        <v>6</v>
      </c>
      <c r="M20" s="34" t="n">
        <f aca="false">MAX(0,L20+M18-M19)</f>
        <v>6</v>
      </c>
      <c r="N20" s="34" t="n">
        <f aca="false">MAX(0,M20+N18-N19)</f>
        <v>6</v>
      </c>
      <c r="O20" s="34" t="n">
        <f aca="false">MAX(0,N20+O18-O19)</f>
        <v>6</v>
      </c>
      <c r="P20" s="34" t="n">
        <f aca="false">MAX(0,O20+P18-P19)</f>
        <v>6</v>
      </c>
      <c r="Q20" s="34" t="n">
        <f aca="false">MAX(0,P20+Q18-Q19)</f>
        <v>6</v>
      </c>
      <c r="R20" s="34" t="n">
        <f aca="false">MAX(0,Q20+R18-R19)</f>
        <v>6</v>
      </c>
      <c r="S20" s="34" t="n">
        <f aca="false">MAX(0,R20+S18-S19)</f>
        <v>6</v>
      </c>
    </row>
    <row r="21" customFormat="false" ht="15.75" hidden="false" customHeight="true" outlineLevel="0" collapsed="false">
      <c r="A21" s="33" t="s">
        <v>115</v>
      </c>
      <c r="B21" s="35" t="n">
        <f aca="false">B20*12500</f>
        <v>0</v>
      </c>
      <c r="C21" s="35" t="n">
        <f aca="false">C20*12500</f>
        <v>0</v>
      </c>
      <c r="D21" s="35" t="n">
        <f aca="false">D20*12500</f>
        <v>62500</v>
      </c>
      <c r="E21" s="35" t="n">
        <f aca="false">E20*12500</f>
        <v>75000</v>
      </c>
      <c r="F21" s="35" t="n">
        <f aca="false">F20*12500</f>
        <v>75000</v>
      </c>
      <c r="G21" s="35" t="n">
        <f aca="false">G20*12500</f>
        <v>75000</v>
      </c>
      <c r="H21" s="35" t="n">
        <f aca="false">H20*12500</f>
        <v>75000</v>
      </c>
      <c r="I21" s="35" t="n">
        <f aca="false">I20*12500</f>
        <v>75000</v>
      </c>
      <c r="J21" s="35" t="n">
        <f aca="false">J20*12500</f>
        <v>75000</v>
      </c>
      <c r="K21" s="35" t="n">
        <f aca="false">K20*12500</f>
        <v>75000</v>
      </c>
      <c r="L21" s="35" t="n">
        <f aca="false">L20*12500</f>
        <v>75000</v>
      </c>
      <c r="M21" s="35" t="n">
        <f aca="false">M20*12500</f>
        <v>75000</v>
      </c>
      <c r="N21" s="35" t="n">
        <f aca="false">N20*12500</f>
        <v>75000</v>
      </c>
      <c r="O21" s="35" t="n">
        <f aca="false">O20*12500</f>
        <v>75000</v>
      </c>
      <c r="P21" s="35" t="n">
        <f aca="false">P20*12500</f>
        <v>75000</v>
      </c>
      <c r="Q21" s="35" t="n">
        <f aca="false">Q20*12500</f>
        <v>75000</v>
      </c>
      <c r="R21" s="35" t="n">
        <f aca="false">R20*12500</f>
        <v>75000</v>
      </c>
      <c r="S21" s="35" t="n">
        <f aca="false">S20*12500</f>
        <v>75000</v>
      </c>
    </row>
    <row r="22" customFormat="false" ht="15.75" hidden="false" customHeight="true" outlineLevel="0" collapsed="false">
      <c r="A22" s="22" t="s">
        <v>116</v>
      </c>
      <c r="B22" s="28" t="n">
        <f aca="false">B20*9836</f>
        <v>0</v>
      </c>
      <c r="C22" s="28" t="n">
        <f aca="false">C20*9836</f>
        <v>0</v>
      </c>
      <c r="D22" s="28" t="n">
        <f aca="false">D20*9836</f>
        <v>49180</v>
      </c>
      <c r="E22" s="28" t="n">
        <f aca="false">E20*9836</f>
        <v>59016</v>
      </c>
      <c r="F22" s="28" t="n">
        <f aca="false">F20*9836</f>
        <v>59016</v>
      </c>
      <c r="G22" s="28" t="n">
        <f aca="false">G20*9836</f>
        <v>59016</v>
      </c>
      <c r="H22" s="28" t="n">
        <f aca="false">H20*9836</f>
        <v>59016</v>
      </c>
      <c r="I22" s="28" t="n">
        <f aca="false">I20*9836</f>
        <v>59016</v>
      </c>
      <c r="J22" s="28" t="n">
        <f aca="false">J20*9836</f>
        <v>59016</v>
      </c>
      <c r="K22" s="28" t="n">
        <f aca="false">K20*9836</f>
        <v>59016</v>
      </c>
      <c r="L22" s="28" t="n">
        <f aca="false">L20*9836</f>
        <v>59016</v>
      </c>
      <c r="M22" s="28" t="n">
        <f aca="false">M20*9836</f>
        <v>59016</v>
      </c>
      <c r="N22" s="28" t="n">
        <f aca="false">N20*9836</f>
        <v>59016</v>
      </c>
      <c r="O22" s="28" t="n">
        <f aca="false">O20*9836</f>
        <v>59016</v>
      </c>
      <c r="P22" s="28" t="n">
        <f aca="false">P20*9836</f>
        <v>59016</v>
      </c>
      <c r="Q22" s="28" t="n">
        <f aca="false">Q20*9836</f>
        <v>59016</v>
      </c>
      <c r="R22" s="28" t="n">
        <f aca="false">R20*9836</f>
        <v>59016</v>
      </c>
      <c r="S22" s="28" t="n">
        <f aca="false">S20*9836</f>
        <v>59016</v>
      </c>
    </row>
    <row r="23" customFormat="false" ht="15.75" hidden="false" customHeight="true" outlineLevel="0" collapsed="false">
      <c r="A23" s="22" t="s">
        <v>117</v>
      </c>
      <c r="B23" s="29" t="n">
        <f aca="false">B21-B22</f>
        <v>0</v>
      </c>
      <c r="C23" s="29" t="n">
        <f aca="false">C21-C22</f>
        <v>0</v>
      </c>
      <c r="D23" s="29" t="n">
        <f aca="false">D21-D22</f>
        <v>13320</v>
      </c>
      <c r="E23" s="29" t="n">
        <f aca="false">E21-E22</f>
        <v>15984</v>
      </c>
      <c r="F23" s="29" t="n">
        <f aca="false">F21-F22</f>
        <v>15984</v>
      </c>
      <c r="G23" s="29" t="n">
        <f aca="false">G21-G22</f>
        <v>15984</v>
      </c>
      <c r="H23" s="29" t="n">
        <f aca="false">H21-H22</f>
        <v>15984</v>
      </c>
      <c r="I23" s="29" t="n">
        <f aca="false">I21-I22</f>
        <v>15984</v>
      </c>
      <c r="J23" s="29" t="n">
        <f aca="false">J21-J22</f>
        <v>15984</v>
      </c>
      <c r="K23" s="29" t="n">
        <f aca="false">K21-K22</f>
        <v>15984</v>
      </c>
      <c r="L23" s="29" t="n">
        <f aca="false">L21-L22</f>
        <v>15984</v>
      </c>
      <c r="M23" s="29" t="n">
        <f aca="false">M21-M22</f>
        <v>15984</v>
      </c>
      <c r="N23" s="29" t="n">
        <f aca="false">N21-N22</f>
        <v>15984</v>
      </c>
      <c r="O23" s="29" t="n">
        <f aca="false">O21-O22</f>
        <v>15984</v>
      </c>
      <c r="P23" s="29" t="n">
        <f aca="false">P21-P22</f>
        <v>15984</v>
      </c>
      <c r="Q23" s="29" t="n">
        <f aca="false">Q21-Q22</f>
        <v>15984</v>
      </c>
      <c r="R23" s="29" t="n">
        <f aca="false">R21-R22</f>
        <v>15984</v>
      </c>
      <c r="S23" s="29" t="n">
        <f aca="false">S21-S22</f>
        <v>15984</v>
      </c>
    </row>
    <row r="24" customFormat="false" ht="15.75" hidden="false" customHeight="true" outlineLevel="0" collapsed="false">
      <c r="A24" s="22" t="s">
        <v>118</v>
      </c>
      <c r="B24" s="30" t="n">
        <f aca="false">IF(B21=0,0,B23/B21)</f>
        <v>0</v>
      </c>
      <c r="C24" s="30" t="n">
        <f aca="false">IF(C21=0,0,C23/C21)</f>
        <v>0</v>
      </c>
      <c r="D24" s="30" t="n">
        <f aca="false">IF(D21=0,0,D23/D21)</f>
        <v>0.21312</v>
      </c>
      <c r="E24" s="30" t="n">
        <f aca="false">IF(E21=0,0,E23/E21)</f>
        <v>0.21312</v>
      </c>
      <c r="F24" s="30" t="n">
        <f aca="false">IF(F21=0,0,F23/F21)</f>
        <v>0.21312</v>
      </c>
      <c r="G24" s="30" t="n">
        <f aca="false">IF(G21=0,0,G23/G21)</f>
        <v>0.21312</v>
      </c>
      <c r="H24" s="30" t="n">
        <f aca="false">IF(H21=0,0,H23/H21)</f>
        <v>0.21312</v>
      </c>
      <c r="I24" s="30" t="n">
        <f aca="false">IF(I21=0,0,I23/I21)</f>
        <v>0.21312</v>
      </c>
      <c r="J24" s="30" t="n">
        <f aca="false">IF(J21=0,0,J23/J21)</f>
        <v>0.21312</v>
      </c>
      <c r="K24" s="30" t="n">
        <f aca="false">IF(K21=0,0,K23/K21)</f>
        <v>0.21312</v>
      </c>
      <c r="L24" s="30" t="n">
        <f aca="false">IF(L21=0,0,L23/L21)</f>
        <v>0.21312</v>
      </c>
      <c r="M24" s="30" t="n">
        <f aca="false">IF(M21=0,0,M23/M21)</f>
        <v>0.21312</v>
      </c>
      <c r="N24" s="30" t="n">
        <f aca="false">IF(N21=0,0,N23/N21)</f>
        <v>0.21312</v>
      </c>
      <c r="O24" s="30" t="n">
        <f aca="false">IF(O21=0,0,O23/O21)</f>
        <v>0.21312</v>
      </c>
      <c r="P24" s="30" t="n">
        <f aca="false">IF(P21=0,0,P23/P21)</f>
        <v>0.21312</v>
      </c>
      <c r="Q24" s="30" t="n">
        <f aca="false">IF(Q21=0,0,Q23/Q21)</f>
        <v>0.21312</v>
      </c>
      <c r="R24" s="30" t="n">
        <f aca="false">IF(R21=0,0,R23/R21)</f>
        <v>0.21312</v>
      </c>
      <c r="S24" s="30" t="n">
        <f aca="false">IF(S21=0,0,S23/S21)</f>
        <v>0.21312</v>
      </c>
    </row>
    <row r="25" customFormat="false" ht="15.75" hidden="false" customHeight="true" outlineLevel="0" collapsed="false">
      <c r="A25" s="22" t="s">
        <v>119</v>
      </c>
      <c r="B25" s="31" t="n">
        <v>625000</v>
      </c>
      <c r="C25" s="31" t="n">
        <v>625000</v>
      </c>
      <c r="D25" s="31" t="n">
        <v>625000</v>
      </c>
      <c r="E25" s="31" t="n">
        <v>625000</v>
      </c>
      <c r="F25" s="31" t="n">
        <v>625000</v>
      </c>
      <c r="G25" s="31" t="n">
        <v>625000</v>
      </c>
      <c r="H25" s="31" t="n">
        <v>625000</v>
      </c>
      <c r="I25" s="31" t="n">
        <v>625000</v>
      </c>
      <c r="J25" s="31" t="n">
        <v>625000</v>
      </c>
      <c r="K25" s="31" t="n">
        <v>625000</v>
      </c>
      <c r="L25" s="31" t="n">
        <v>625000</v>
      </c>
      <c r="M25" s="31" t="n">
        <v>625000</v>
      </c>
      <c r="N25" s="31" t="n">
        <v>625000</v>
      </c>
      <c r="O25" s="31" t="n">
        <v>625000</v>
      </c>
      <c r="P25" s="31" t="n">
        <v>625000</v>
      </c>
      <c r="Q25" s="31" t="n">
        <v>625000</v>
      </c>
      <c r="R25" s="31" t="n">
        <v>625000</v>
      </c>
      <c r="S25" s="31" t="n">
        <v>625000</v>
      </c>
    </row>
    <row r="26" customFormat="false" ht="15.75" hidden="false" customHeight="true" outlineLevel="0" collapsed="false">
      <c r="A26" s="33" t="s">
        <v>120</v>
      </c>
      <c r="B26" s="35" t="n">
        <f aca="false">B23-B25</f>
        <v>-625000</v>
      </c>
      <c r="C26" s="35" t="n">
        <f aca="false">C23-C25</f>
        <v>-625000</v>
      </c>
      <c r="D26" s="35" t="n">
        <f aca="false">D23-D25</f>
        <v>-611680</v>
      </c>
      <c r="E26" s="35" t="n">
        <f aca="false">E23-E25</f>
        <v>-609016</v>
      </c>
      <c r="F26" s="35" t="n">
        <f aca="false">F23-F25</f>
        <v>-609016</v>
      </c>
      <c r="G26" s="35" t="n">
        <f aca="false">G23-G25</f>
        <v>-609016</v>
      </c>
      <c r="H26" s="35" t="n">
        <f aca="false">H23-H25</f>
        <v>-609016</v>
      </c>
      <c r="I26" s="35" t="n">
        <f aca="false">I23-I25</f>
        <v>-609016</v>
      </c>
      <c r="J26" s="35" t="n">
        <f aca="false">J23-J25</f>
        <v>-609016</v>
      </c>
      <c r="K26" s="35" t="n">
        <f aca="false">K23-K25</f>
        <v>-609016</v>
      </c>
      <c r="L26" s="35" t="n">
        <f aca="false">L23-L25</f>
        <v>-609016</v>
      </c>
      <c r="M26" s="35" t="n">
        <f aca="false">M23-M25</f>
        <v>-609016</v>
      </c>
      <c r="N26" s="35" t="n">
        <f aca="false">N23-N25</f>
        <v>-609016</v>
      </c>
      <c r="O26" s="35" t="n">
        <f aca="false">O23-O25</f>
        <v>-609016</v>
      </c>
      <c r="P26" s="35" t="n">
        <f aca="false">P23-P25</f>
        <v>-609016</v>
      </c>
      <c r="Q26" s="35" t="n">
        <f aca="false">Q23-Q25</f>
        <v>-609016</v>
      </c>
      <c r="R26" s="35" t="n">
        <f aca="false">R23-R25</f>
        <v>-609016</v>
      </c>
      <c r="S26" s="35" t="n">
        <f aca="false">S23-S25</f>
        <v>-609016</v>
      </c>
    </row>
    <row r="27" customFormat="false" ht="15.75" hidden="false" customHeight="true" outlineLevel="0" collapsed="false">
      <c r="A27" s="22" t="s">
        <v>121</v>
      </c>
      <c r="B27" s="24" t="n">
        <f aca="false">B20</f>
        <v>0</v>
      </c>
      <c r="C27" s="24" t="n">
        <f aca="false">MAX(0,B27+C18-C19)</f>
        <v>0</v>
      </c>
      <c r="D27" s="24" t="n">
        <f aca="false">MAX(0,C27+D18-D19)</f>
        <v>5</v>
      </c>
      <c r="E27" s="24" t="n">
        <f aca="false">MAX(0,D27+E18-E19)</f>
        <v>6</v>
      </c>
      <c r="F27" s="24" t="n">
        <f aca="false">MAX(0,E27+F18-F19)</f>
        <v>6</v>
      </c>
      <c r="G27" s="24" t="n">
        <f aca="false">MAX(0,F27+G18-G19)</f>
        <v>6</v>
      </c>
      <c r="H27" s="24" t="n">
        <f aca="false">MAX(0,G27+H18-H19)</f>
        <v>6</v>
      </c>
      <c r="I27" s="24" t="n">
        <f aca="false">MAX(0,H27+I18-I19)</f>
        <v>6</v>
      </c>
      <c r="J27" s="24" t="n">
        <f aca="false">MAX(0,I27+J18-J19)</f>
        <v>6</v>
      </c>
      <c r="K27" s="24" t="n">
        <f aca="false">MAX(0,J27+K18-K19)</f>
        <v>6</v>
      </c>
      <c r="L27" s="24" t="n">
        <f aca="false">MAX(0,K27+L18-L19)</f>
        <v>6</v>
      </c>
      <c r="M27" s="24" t="n">
        <f aca="false">MAX(0,L27+M18-M19)</f>
        <v>6</v>
      </c>
      <c r="N27" s="24" t="n">
        <f aca="false">MAX(0,M27+N18-N19)</f>
        <v>6</v>
      </c>
      <c r="O27" s="24" t="n">
        <f aca="false">MAX(0,N27+O18-O19)</f>
        <v>6</v>
      </c>
      <c r="P27" s="24" t="n">
        <f aca="false">MAX(0,O27+P18-P19)</f>
        <v>6</v>
      </c>
      <c r="Q27" s="24" t="n">
        <f aca="false">MAX(0,P27+Q18-Q19)</f>
        <v>6</v>
      </c>
      <c r="R27" s="24" t="n">
        <f aca="false">MAX(0,Q27+R18-R19)</f>
        <v>6</v>
      </c>
      <c r="S27" s="24" t="n">
        <f aca="false">MAX(0,R27+S18-S19)</f>
        <v>6</v>
      </c>
    </row>
    <row r="28" customFormat="false" ht="15.75" hidden="false" customHeight="true" outlineLevel="0" collapsed="false">
      <c r="A28" s="33" t="s">
        <v>122</v>
      </c>
      <c r="B28" s="29" t="n">
        <f aca="false">B21</f>
        <v>0</v>
      </c>
      <c r="C28" s="29" t="n">
        <f aca="false">C21</f>
        <v>0</v>
      </c>
      <c r="D28" s="29" t="n">
        <f aca="false">D21</f>
        <v>62500</v>
      </c>
      <c r="E28" s="29" t="n">
        <f aca="false">E21</f>
        <v>75000</v>
      </c>
      <c r="F28" s="29" t="n">
        <f aca="false">F21</f>
        <v>75000</v>
      </c>
      <c r="G28" s="29" t="n">
        <f aca="false">G21</f>
        <v>75000</v>
      </c>
      <c r="H28" s="29" t="n">
        <f aca="false">H21</f>
        <v>75000</v>
      </c>
      <c r="I28" s="29" t="n">
        <f aca="false">I21</f>
        <v>75000</v>
      </c>
      <c r="J28" s="29" t="n">
        <f aca="false">J21</f>
        <v>75000</v>
      </c>
      <c r="K28" s="29" t="n">
        <f aca="false">K21</f>
        <v>75000</v>
      </c>
      <c r="L28" s="29" t="n">
        <f aca="false">L21</f>
        <v>75000</v>
      </c>
      <c r="M28" s="29" t="n">
        <f aca="false">M21</f>
        <v>75000</v>
      </c>
      <c r="N28" s="29" t="n">
        <f aca="false">N21</f>
        <v>75000</v>
      </c>
      <c r="O28" s="29" t="n">
        <f aca="false">O21</f>
        <v>75000</v>
      </c>
      <c r="P28" s="29" t="n">
        <f aca="false">P21</f>
        <v>75000</v>
      </c>
      <c r="Q28" s="29" t="n">
        <f aca="false">Q21</f>
        <v>75000</v>
      </c>
      <c r="R28" s="29" t="n">
        <f aca="false">R21</f>
        <v>75000</v>
      </c>
      <c r="S28" s="29" t="n">
        <f aca="false">S21</f>
        <v>75000</v>
      </c>
    </row>
    <row r="29" customFormat="false" ht="7.5" hidden="false" customHeight="true" outlineLevel="0" collapsed="false"/>
    <row r="30" customFormat="false" ht="18" hidden="false" customHeight="true" outlineLevel="0" collapsed="false">
      <c r="A30" s="36" t="s">
        <v>124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</row>
    <row r="31" customFormat="false" ht="15.75" hidden="false" customHeight="true" outlineLevel="0" collapsed="false">
      <c r="A31" s="22" t="s">
        <v>112</v>
      </c>
      <c r="B31" s="23" t="n">
        <v>0</v>
      </c>
      <c r="C31" s="23" t="n">
        <v>0</v>
      </c>
      <c r="D31" s="23" t="n">
        <v>8</v>
      </c>
      <c r="E31" s="24" t="n">
        <f aca="false">ROUND(D31*0.22,0)</f>
        <v>2</v>
      </c>
      <c r="F31" s="24" t="n">
        <f aca="false">ROUND(E31*0.22,0)</f>
        <v>0</v>
      </c>
      <c r="G31" s="24" t="n">
        <f aca="false">ROUND(F31*0.22,0)</f>
        <v>0</v>
      </c>
      <c r="H31" s="24" t="n">
        <f aca="false">ROUND(G31*0.22,0)</f>
        <v>0</v>
      </c>
      <c r="I31" s="24" t="n">
        <f aca="false">ROUND(H31*0.22,0)</f>
        <v>0</v>
      </c>
      <c r="J31" s="24" t="n">
        <f aca="false">ROUND(I31*0.22,0)</f>
        <v>0</v>
      </c>
      <c r="K31" s="24" t="n">
        <f aca="false">ROUND(J31*0.22,0)</f>
        <v>0</v>
      </c>
      <c r="L31" s="24" t="n">
        <f aca="false">ROUND(K31*0.22,0)</f>
        <v>0</v>
      </c>
      <c r="M31" s="24" t="n">
        <f aca="false">ROUND(L31*0.22,0)</f>
        <v>0</v>
      </c>
      <c r="N31" s="24" t="n">
        <f aca="false">ROUND(M31*0.22,0)</f>
        <v>0</v>
      </c>
      <c r="O31" s="24" t="n">
        <f aca="false">ROUND(N31*0.22,0)</f>
        <v>0</v>
      </c>
      <c r="P31" s="24" t="n">
        <f aca="false">ROUND(O31*0.22,0)</f>
        <v>0</v>
      </c>
      <c r="Q31" s="24" t="n">
        <f aca="false">ROUND(P31*0.22,0)</f>
        <v>0</v>
      </c>
      <c r="R31" s="24" t="n">
        <f aca="false">ROUND(Q31*0.22,0)</f>
        <v>0</v>
      </c>
      <c r="S31" s="24" t="n">
        <f aca="false">ROUND(R31*0.22,0)</f>
        <v>0</v>
      </c>
    </row>
    <row r="32" customFormat="false" ht="15.75" hidden="false" customHeight="true" outlineLevel="0" collapsed="false">
      <c r="A32" s="22" t="s">
        <v>113</v>
      </c>
      <c r="B32" s="24" t="n">
        <v>0</v>
      </c>
      <c r="C32" s="24" t="n">
        <f aca="false">ROUND(B32*0.03,0)</f>
        <v>0</v>
      </c>
      <c r="D32" s="24" t="n">
        <f aca="false">ROUND(C32*0.03,0)</f>
        <v>0</v>
      </c>
      <c r="E32" s="24" t="n">
        <f aca="false">ROUND(D32*0.03,0)</f>
        <v>0</v>
      </c>
      <c r="F32" s="24" t="n">
        <f aca="false">ROUND(E32*0.03,0)</f>
        <v>0</v>
      </c>
      <c r="G32" s="24" t="n">
        <f aca="false">ROUND(F32*0.03,0)</f>
        <v>0</v>
      </c>
      <c r="H32" s="24" t="n">
        <f aca="false">ROUND(G32*0.03,0)</f>
        <v>0</v>
      </c>
      <c r="I32" s="24" t="n">
        <f aca="false">ROUND(H32*0.03,0)</f>
        <v>0</v>
      </c>
      <c r="J32" s="24" t="n">
        <f aca="false">ROUND(I32*0.03,0)</f>
        <v>0</v>
      </c>
      <c r="K32" s="24" t="n">
        <f aca="false">ROUND(J32*0.03,0)</f>
        <v>0</v>
      </c>
      <c r="L32" s="24" t="n">
        <f aca="false">ROUND(K32*0.03,0)</f>
        <v>0</v>
      </c>
      <c r="M32" s="24" t="n">
        <f aca="false">ROUND(L32*0.03,0)</f>
        <v>0</v>
      </c>
      <c r="N32" s="24" t="n">
        <f aca="false">ROUND(M32*0.03,0)</f>
        <v>0</v>
      </c>
      <c r="O32" s="24" t="n">
        <f aca="false">ROUND(N32*0.03,0)</f>
        <v>0</v>
      </c>
      <c r="P32" s="24" t="n">
        <f aca="false">ROUND(O32*0.03,0)</f>
        <v>0</v>
      </c>
      <c r="Q32" s="24" t="n">
        <f aca="false">ROUND(P32*0.03,0)</f>
        <v>0</v>
      </c>
      <c r="R32" s="24" t="n">
        <f aca="false">ROUND(Q32*0.03,0)</f>
        <v>0</v>
      </c>
      <c r="S32" s="24" t="n">
        <f aca="false">ROUND(R32*0.03,0)</f>
        <v>0</v>
      </c>
    </row>
    <row r="33" customFormat="false" ht="15.75" hidden="false" customHeight="true" outlineLevel="0" collapsed="false">
      <c r="A33" s="37" t="s">
        <v>114</v>
      </c>
      <c r="B33" s="38" t="n">
        <v>0</v>
      </c>
      <c r="C33" s="38" t="n">
        <f aca="false">MAX(0,B33+C31-C32)</f>
        <v>0</v>
      </c>
      <c r="D33" s="38" t="n">
        <f aca="false">MAX(0,C33+D31-D32)</f>
        <v>8</v>
      </c>
      <c r="E33" s="38" t="n">
        <f aca="false">MAX(0,D33+E31-E32)</f>
        <v>10</v>
      </c>
      <c r="F33" s="38" t="n">
        <f aca="false">MAX(0,E33+F31-F32)</f>
        <v>10</v>
      </c>
      <c r="G33" s="38" t="n">
        <f aca="false">MAX(0,F33+G31-G32)</f>
        <v>10</v>
      </c>
      <c r="H33" s="38" t="n">
        <f aca="false">MAX(0,G33+H31-H32)</f>
        <v>10</v>
      </c>
      <c r="I33" s="38" t="n">
        <f aca="false">MAX(0,H33+I31-I32)</f>
        <v>10</v>
      </c>
      <c r="J33" s="38" t="n">
        <f aca="false">MAX(0,I33+J31-J32)</f>
        <v>10</v>
      </c>
      <c r="K33" s="38" t="n">
        <f aca="false">MAX(0,J33+K31-K32)</f>
        <v>10</v>
      </c>
      <c r="L33" s="38" t="n">
        <f aca="false">MAX(0,K33+L31-L32)</f>
        <v>10</v>
      </c>
      <c r="M33" s="38" t="n">
        <f aca="false">MAX(0,L33+M31-M32)</f>
        <v>10</v>
      </c>
      <c r="N33" s="38" t="n">
        <f aca="false">MAX(0,M33+N31-N32)</f>
        <v>10</v>
      </c>
      <c r="O33" s="38" t="n">
        <f aca="false">MAX(0,N33+O31-O32)</f>
        <v>10</v>
      </c>
      <c r="P33" s="38" t="n">
        <f aca="false">MAX(0,O33+P31-P32)</f>
        <v>10</v>
      </c>
      <c r="Q33" s="38" t="n">
        <f aca="false">MAX(0,P33+Q31-Q32)</f>
        <v>10</v>
      </c>
      <c r="R33" s="38" t="n">
        <f aca="false">MAX(0,Q33+R31-R32)</f>
        <v>10</v>
      </c>
      <c r="S33" s="38" t="n">
        <f aca="false">MAX(0,R33+S31-S32)</f>
        <v>10</v>
      </c>
    </row>
    <row r="34" customFormat="false" ht="15.75" hidden="false" customHeight="true" outlineLevel="0" collapsed="false">
      <c r="A34" s="37" t="s">
        <v>115</v>
      </c>
      <c r="B34" s="39" t="n">
        <f aca="false">B33*12500</f>
        <v>0</v>
      </c>
      <c r="C34" s="39" t="n">
        <f aca="false">C33*12500</f>
        <v>0</v>
      </c>
      <c r="D34" s="39" t="n">
        <f aca="false">D33*12500</f>
        <v>100000</v>
      </c>
      <c r="E34" s="39" t="n">
        <f aca="false">E33*12500</f>
        <v>125000</v>
      </c>
      <c r="F34" s="39" t="n">
        <f aca="false">F33*12500</f>
        <v>125000</v>
      </c>
      <c r="G34" s="39" t="n">
        <f aca="false">G33*12500</f>
        <v>125000</v>
      </c>
      <c r="H34" s="39" t="n">
        <f aca="false">H33*12500</f>
        <v>125000</v>
      </c>
      <c r="I34" s="39" t="n">
        <f aca="false">I33*12500</f>
        <v>125000</v>
      </c>
      <c r="J34" s="39" t="n">
        <f aca="false">J33*12500</f>
        <v>125000</v>
      </c>
      <c r="K34" s="39" t="n">
        <f aca="false">K33*12500</f>
        <v>125000</v>
      </c>
      <c r="L34" s="39" t="n">
        <f aca="false">L33*12500</f>
        <v>125000</v>
      </c>
      <c r="M34" s="39" t="n">
        <f aca="false">M33*12500</f>
        <v>125000</v>
      </c>
      <c r="N34" s="39" t="n">
        <f aca="false">N33*12500</f>
        <v>125000</v>
      </c>
      <c r="O34" s="39" t="n">
        <f aca="false">O33*12500</f>
        <v>125000</v>
      </c>
      <c r="P34" s="39" t="n">
        <f aca="false">P33*12500</f>
        <v>125000</v>
      </c>
      <c r="Q34" s="39" t="n">
        <f aca="false">Q33*12500</f>
        <v>125000</v>
      </c>
      <c r="R34" s="39" t="n">
        <f aca="false">R33*12500</f>
        <v>125000</v>
      </c>
      <c r="S34" s="39" t="n">
        <f aca="false">S33*12500</f>
        <v>125000</v>
      </c>
    </row>
    <row r="35" customFormat="false" ht="15.75" hidden="false" customHeight="true" outlineLevel="0" collapsed="false">
      <c r="A35" s="22" t="s">
        <v>116</v>
      </c>
      <c r="B35" s="28" t="n">
        <f aca="false">B33*9836</f>
        <v>0</v>
      </c>
      <c r="C35" s="28" t="n">
        <f aca="false">C33*9836</f>
        <v>0</v>
      </c>
      <c r="D35" s="28" t="n">
        <f aca="false">D33*9836</f>
        <v>78688</v>
      </c>
      <c r="E35" s="28" t="n">
        <f aca="false">E33*9836</f>
        <v>98360</v>
      </c>
      <c r="F35" s="28" t="n">
        <f aca="false">F33*9836</f>
        <v>98360</v>
      </c>
      <c r="G35" s="28" t="n">
        <f aca="false">G33*9836</f>
        <v>98360</v>
      </c>
      <c r="H35" s="28" t="n">
        <f aca="false">H33*9836</f>
        <v>98360</v>
      </c>
      <c r="I35" s="28" t="n">
        <f aca="false">I33*9836</f>
        <v>98360</v>
      </c>
      <c r="J35" s="28" t="n">
        <f aca="false">J33*9836</f>
        <v>98360</v>
      </c>
      <c r="K35" s="28" t="n">
        <f aca="false">K33*9836</f>
        <v>98360</v>
      </c>
      <c r="L35" s="28" t="n">
        <f aca="false">L33*9836</f>
        <v>98360</v>
      </c>
      <c r="M35" s="28" t="n">
        <f aca="false">M33*9836</f>
        <v>98360</v>
      </c>
      <c r="N35" s="28" t="n">
        <f aca="false">N33*9836</f>
        <v>98360</v>
      </c>
      <c r="O35" s="28" t="n">
        <f aca="false">O33*9836</f>
        <v>98360</v>
      </c>
      <c r="P35" s="28" t="n">
        <f aca="false">P33*9836</f>
        <v>98360</v>
      </c>
      <c r="Q35" s="28" t="n">
        <f aca="false">Q33*9836</f>
        <v>98360</v>
      </c>
      <c r="R35" s="28" t="n">
        <f aca="false">R33*9836</f>
        <v>98360</v>
      </c>
      <c r="S35" s="28" t="n">
        <f aca="false">S33*9836</f>
        <v>98360</v>
      </c>
    </row>
    <row r="36" customFormat="false" ht="15.75" hidden="false" customHeight="true" outlineLevel="0" collapsed="false">
      <c r="A36" s="22" t="s">
        <v>117</v>
      </c>
      <c r="B36" s="29" t="n">
        <f aca="false">B34-B35</f>
        <v>0</v>
      </c>
      <c r="C36" s="29" t="n">
        <f aca="false">C34-C35</f>
        <v>0</v>
      </c>
      <c r="D36" s="29" t="n">
        <f aca="false">D34-D35</f>
        <v>21312</v>
      </c>
      <c r="E36" s="29" t="n">
        <f aca="false">E34-E35</f>
        <v>26640</v>
      </c>
      <c r="F36" s="29" t="n">
        <f aca="false">F34-F35</f>
        <v>26640</v>
      </c>
      <c r="G36" s="29" t="n">
        <f aca="false">G34-G35</f>
        <v>26640</v>
      </c>
      <c r="H36" s="29" t="n">
        <f aca="false">H34-H35</f>
        <v>26640</v>
      </c>
      <c r="I36" s="29" t="n">
        <f aca="false">I34-I35</f>
        <v>26640</v>
      </c>
      <c r="J36" s="29" t="n">
        <f aca="false">J34-J35</f>
        <v>26640</v>
      </c>
      <c r="K36" s="29" t="n">
        <f aca="false">K34-K35</f>
        <v>26640</v>
      </c>
      <c r="L36" s="29" t="n">
        <f aca="false">L34-L35</f>
        <v>26640</v>
      </c>
      <c r="M36" s="29" t="n">
        <f aca="false">M34-M35</f>
        <v>26640</v>
      </c>
      <c r="N36" s="29" t="n">
        <f aca="false">N34-N35</f>
        <v>26640</v>
      </c>
      <c r="O36" s="29" t="n">
        <f aca="false">O34-O35</f>
        <v>26640</v>
      </c>
      <c r="P36" s="29" t="n">
        <f aca="false">P34-P35</f>
        <v>26640</v>
      </c>
      <c r="Q36" s="29" t="n">
        <f aca="false">Q34-Q35</f>
        <v>26640</v>
      </c>
      <c r="R36" s="29" t="n">
        <f aca="false">R34-R35</f>
        <v>26640</v>
      </c>
      <c r="S36" s="29" t="n">
        <f aca="false">S34-S35</f>
        <v>26640</v>
      </c>
    </row>
    <row r="37" customFormat="false" ht="15.75" hidden="false" customHeight="true" outlineLevel="0" collapsed="false">
      <c r="A37" s="22" t="s">
        <v>118</v>
      </c>
      <c r="B37" s="30" t="n">
        <f aca="false">IF(B34=0,0,B36/B34)</f>
        <v>0</v>
      </c>
      <c r="C37" s="30" t="n">
        <f aca="false">IF(C34=0,0,C36/C34)</f>
        <v>0</v>
      </c>
      <c r="D37" s="30" t="n">
        <f aca="false">IF(D34=0,0,D36/D34)</f>
        <v>0.21312</v>
      </c>
      <c r="E37" s="30" t="n">
        <f aca="false">IF(E34=0,0,E36/E34)</f>
        <v>0.21312</v>
      </c>
      <c r="F37" s="30" t="n">
        <f aca="false">IF(F34=0,0,F36/F34)</f>
        <v>0.21312</v>
      </c>
      <c r="G37" s="30" t="n">
        <f aca="false">IF(G34=0,0,G36/G34)</f>
        <v>0.21312</v>
      </c>
      <c r="H37" s="30" t="n">
        <f aca="false">IF(H34=0,0,H36/H34)</f>
        <v>0.21312</v>
      </c>
      <c r="I37" s="30" t="n">
        <f aca="false">IF(I34=0,0,I36/I34)</f>
        <v>0.21312</v>
      </c>
      <c r="J37" s="30" t="n">
        <f aca="false">IF(J34=0,0,J36/J34)</f>
        <v>0.21312</v>
      </c>
      <c r="K37" s="30" t="n">
        <f aca="false">IF(K34=0,0,K36/K34)</f>
        <v>0.21312</v>
      </c>
      <c r="L37" s="30" t="n">
        <f aca="false">IF(L34=0,0,L36/L34)</f>
        <v>0.21312</v>
      </c>
      <c r="M37" s="30" t="n">
        <f aca="false">IF(M34=0,0,M36/M34)</f>
        <v>0.21312</v>
      </c>
      <c r="N37" s="30" t="n">
        <f aca="false">IF(N34=0,0,N36/N34)</f>
        <v>0.21312</v>
      </c>
      <c r="O37" s="30" t="n">
        <f aca="false">IF(O34=0,0,O36/O34)</f>
        <v>0.21312</v>
      </c>
      <c r="P37" s="30" t="n">
        <f aca="false">IF(P34=0,0,P36/P34)</f>
        <v>0.21312</v>
      </c>
      <c r="Q37" s="30" t="n">
        <f aca="false">IF(Q34=0,0,Q36/Q34)</f>
        <v>0.21312</v>
      </c>
      <c r="R37" s="30" t="n">
        <f aca="false">IF(R34=0,0,R36/R34)</f>
        <v>0.21312</v>
      </c>
      <c r="S37" s="30" t="n">
        <f aca="false">IF(S34=0,0,S36/S34)</f>
        <v>0.21312</v>
      </c>
    </row>
    <row r="38" customFormat="false" ht="15.75" hidden="false" customHeight="true" outlineLevel="0" collapsed="false">
      <c r="A38" s="22" t="s">
        <v>119</v>
      </c>
      <c r="B38" s="31" t="n">
        <v>625000</v>
      </c>
      <c r="C38" s="31" t="n">
        <v>625000</v>
      </c>
      <c r="D38" s="31" t="n">
        <v>625000</v>
      </c>
      <c r="E38" s="31" t="n">
        <v>625000</v>
      </c>
      <c r="F38" s="31" t="n">
        <v>625000</v>
      </c>
      <c r="G38" s="31" t="n">
        <v>625000</v>
      </c>
      <c r="H38" s="31" t="n">
        <v>625000</v>
      </c>
      <c r="I38" s="31" t="n">
        <v>625000</v>
      </c>
      <c r="J38" s="31" t="n">
        <v>625000</v>
      </c>
      <c r="K38" s="31" t="n">
        <v>625000</v>
      </c>
      <c r="L38" s="31" t="n">
        <v>625000</v>
      </c>
      <c r="M38" s="31" t="n">
        <v>625000</v>
      </c>
      <c r="N38" s="31" t="n">
        <v>625000</v>
      </c>
      <c r="O38" s="31" t="n">
        <v>625000</v>
      </c>
      <c r="P38" s="31" t="n">
        <v>625000</v>
      </c>
      <c r="Q38" s="31" t="n">
        <v>625000</v>
      </c>
      <c r="R38" s="31" t="n">
        <v>625000</v>
      </c>
      <c r="S38" s="31" t="n">
        <v>625000</v>
      </c>
    </row>
    <row r="39" customFormat="false" ht="15.75" hidden="false" customHeight="true" outlineLevel="0" collapsed="false">
      <c r="A39" s="37" t="s">
        <v>120</v>
      </c>
      <c r="B39" s="39" t="n">
        <f aca="false">B36-B38</f>
        <v>-625000</v>
      </c>
      <c r="C39" s="39" t="n">
        <f aca="false">C36-C38</f>
        <v>-625000</v>
      </c>
      <c r="D39" s="39" t="n">
        <f aca="false">D36-D38</f>
        <v>-603688</v>
      </c>
      <c r="E39" s="39" t="n">
        <f aca="false">E36-E38</f>
        <v>-598360</v>
      </c>
      <c r="F39" s="39" t="n">
        <f aca="false">F36-F38</f>
        <v>-598360</v>
      </c>
      <c r="G39" s="39" t="n">
        <f aca="false">G36-G38</f>
        <v>-598360</v>
      </c>
      <c r="H39" s="39" t="n">
        <f aca="false">H36-H38</f>
        <v>-598360</v>
      </c>
      <c r="I39" s="39" t="n">
        <f aca="false">I36-I38</f>
        <v>-598360</v>
      </c>
      <c r="J39" s="39" t="n">
        <f aca="false">J36-J38</f>
        <v>-598360</v>
      </c>
      <c r="K39" s="39" t="n">
        <f aca="false">K36-K38</f>
        <v>-598360</v>
      </c>
      <c r="L39" s="39" t="n">
        <f aca="false">L36-L38</f>
        <v>-598360</v>
      </c>
      <c r="M39" s="39" t="n">
        <f aca="false">M36-M38</f>
        <v>-598360</v>
      </c>
      <c r="N39" s="39" t="n">
        <f aca="false">N36-N38</f>
        <v>-598360</v>
      </c>
      <c r="O39" s="39" t="n">
        <f aca="false">O36-O38</f>
        <v>-598360</v>
      </c>
      <c r="P39" s="39" t="n">
        <f aca="false">P36-P38</f>
        <v>-598360</v>
      </c>
      <c r="Q39" s="39" t="n">
        <f aca="false">Q36-Q38</f>
        <v>-598360</v>
      </c>
      <c r="R39" s="39" t="n">
        <f aca="false">R36-R38</f>
        <v>-598360</v>
      </c>
      <c r="S39" s="39" t="n">
        <f aca="false">S36-S38</f>
        <v>-598360</v>
      </c>
    </row>
    <row r="40" customFormat="false" ht="15.75" hidden="false" customHeight="true" outlineLevel="0" collapsed="false">
      <c r="A40" s="22" t="s">
        <v>121</v>
      </c>
      <c r="B40" s="24" t="n">
        <f aca="false">B33</f>
        <v>0</v>
      </c>
      <c r="C40" s="24" t="n">
        <f aca="false">MAX(0,B40+C31-C32)</f>
        <v>0</v>
      </c>
      <c r="D40" s="24" t="n">
        <f aca="false">MAX(0,C40+D31-D32)</f>
        <v>8</v>
      </c>
      <c r="E40" s="24" t="n">
        <f aca="false">MAX(0,D40+E31-E32)</f>
        <v>10</v>
      </c>
      <c r="F40" s="24" t="n">
        <f aca="false">MAX(0,E40+F31-F32)</f>
        <v>10</v>
      </c>
      <c r="G40" s="24" t="n">
        <f aca="false">MAX(0,F40+G31-G32)</f>
        <v>10</v>
      </c>
      <c r="H40" s="24" t="n">
        <f aca="false">MAX(0,G40+H31-H32)</f>
        <v>10</v>
      </c>
      <c r="I40" s="24" t="n">
        <f aca="false">MAX(0,H40+I31-I32)</f>
        <v>10</v>
      </c>
      <c r="J40" s="24" t="n">
        <f aca="false">MAX(0,I40+J31-J32)</f>
        <v>10</v>
      </c>
      <c r="K40" s="24" t="n">
        <f aca="false">MAX(0,J40+K31-K32)</f>
        <v>10</v>
      </c>
      <c r="L40" s="24" t="n">
        <f aca="false">MAX(0,K40+L31-L32)</f>
        <v>10</v>
      </c>
      <c r="M40" s="24" t="n">
        <f aca="false">MAX(0,L40+M31-M32)</f>
        <v>10</v>
      </c>
      <c r="N40" s="24" t="n">
        <f aca="false">MAX(0,M40+N31-N32)</f>
        <v>10</v>
      </c>
      <c r="O40" s="24" t="n">
        <f aca="false">MAX(0,N40+O31-O32)</f>
        <v>10</v>
      </c>
      <c r="P40" s="24" t="n">
        <f aca="false">MAX(0,O40+P31-P32)</f>
        <v>10</v>
      </c>
      <c r="Q40" s="24" t="n">
        <f aca="false">MAX(0,P40+Q31-Q32)</f>
        <v>10</v>
      </c>
      <c r="R40" s="24" t="n">
        <f aca="false">MAX(0,Q40+R31-R32)</f>
        <v>10</v>
      </c>
      <c r="S40" s="24" t="n">
        <f aca="false">MAX(0,R40+S31-S32)</f>
        <v>10</v>
      </c>
    </row>
    <row r="41" customFormat="false" ht="15.75" hidden="false" customHeight="true" outlineLevel="0" collapsed="false">
      <c r="A41" s="37" t="s">
        <v>122</v>
      </c>
      <c r="B41" s="29" t="n">
        <f aca="false">B34</f>
        <v>0</v>
      </c>
      <c r="C41" s="29" t="n">
        <f aca="false">C34</f>
        <v>0</v>
      </c>
      <c r="D41" s="29" t="n">
        <f aca="false">D34</f>
        <v>100000</v>
      </c>
      <c r="E41" s="29" t="n">
        <f aca="false">E34</f>
        <v>125000</v>
      </c>
      <c r="F41" s="29" t="n">
        <f aca="false">F34</f>
        <v>125000</v>
      </c>
      <c r="G41" s="29" t="n">
        <f aca="false">G34</f>
        <v>125000</v>
      </c>
      <c r="H41" s="29" t="n">
        <f aca="false">H34</f>
        <v>125000</v>
      </c>
      <c r="I41" s="29" t="n">
        <f aca="false">I34</f>
        <v>125000</v>
      </c>
      <c r="J41" s="29" t="n">
        <f aca="false">J34</f>
        <v>125000</v>
      </c>
      <c r="K41" s="29" t="n">
        <f aca="false">K34</f>
        <v>125000</v>
      </c>
      <c r="L41" s="29" t="n">
        <f aca="false">L34</f>
        <v>125000</v>
      </c>
      <c r="M41" s="29" t="n">
        <f aca="false">M34</f>
        <v>125000</v>
      </c>
      <c r="N41" s="29" t="n">
        <f aca="false">N34</f>
        <v>125000</v>
      </c>
      <c r="O41" s="29" t="n">
        <f aca="false">O34</f>
        <v>125000</v>
      </c>
      <c r="P41" s="29" t="n">
        <f aca="false">P34</f>
        <v>125000</v>
      </c>
      <c r="Q41" s="29" t="n">
        <f aca="false">Q34</f>
        <v>125000</v>
      </c>
      <c r="R41" s="29" t="n">
        <f aca="false">R34</f>
        <v>125000</v>
      </c>
      <c r="S41" s="29" t="n">
        <f aca="false">S34</f>
        <v>125000</v>
      </c>
    </row>
    <row r="42" customFormat="false" ht="7.5" hidden="false" customHeight="true" outlineLevel="0" collapsed="false"/>
  </sheetData>
  <mergeCells count="5">
    <mergeCell ref="A1:T1"/>
    <mergeCell ref="A2:A3"/>
    <mergeCell ref="A4:S4"/>
    <mergeCell ref="A17:S17"/>
    <mergeCell ref="A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</cols>
  <sheetData>
    <row r="1" customFormat="false" ht="27.75" hidden="false" customHeight="true" outlineLevel="0" collapsed="false">
      <c r="A1" s="18" t="s">
        <v>125</v>
      </c>
      <c r="B1" s="18"/>
      <c r="C1" s="18"/>
      <c r="D1" s="18"/>
      <c r="E1" s="18"/>
      <c r="F1" s="18"/>
    </row>
    <row r="2" customFormat="false" ht="18" hidden="false" customHeight="true" outlineLevel="0" collapsed="false">
      <c r="A2" s="40" t="s">
        <v>126</v>
      </c>
      <c r="B2" s="40" t="s">
        <v>127</v>
      </c>
      <c r="C2" s="40" t="s">
        <v>128</v>
      </c>
      <c r="D2" s="40" t="s">
        <v>129</v>
      </c>
      <c r="E2" s="40" t="s">
        <v>130</v>
      </c>
      <c r="F2" s="40" t="s">
        <v>131</v>
      </c>
    </row>
    <row r="3" customFormat="false" ht="18" hidden="false" customHeight="true" outlineLevel="0" collapsed="false">
      <c r="A3" s="41" t="s">
        <v>132</v>
      </c>
      <c r="B3" s="41"/>
      <c r="C3" s="41"/>
      <c r="D3" s="41"/>
      <c r="E3" s="41"/>
      <c r="F3" s="41"/>
    </row>
    <row r="4" customFormat="false" ht="15.75" hidden="false" customHeight="true" outlineLevel="0" collapsed="false">
      <c r="A4" s="22" t="s">
        <v>133</v>
      </c>
      <c r="B4" s="22" t="s">
        <v>134</v>
      </c>
      <c r="C4" s="8" t="n">
        <v>220</v>
      </c>
      <c r="D4" s="28" t="n">
        <f aca="false">C4</f>
        <v>220</v>
      </c>
      <c r="E4" s="28" t="n">
        <f aca="false">D4*50</f>
        <v>11000</v>
      </c>
      <c r="F4" s="28" t="n">
        <f aca="false">D4*200</f>
        <v>44000</v>
      </c>
    </row>
    <row r="5" customFormat="false" ht="15.75" hidden="false" customHeight="true" outlineLevel="0" collapsed="false">
      <c r="A5" s="22" t="s">
        <v>135</v>
      </c>
      <c r="B5" s="22" t="s">
        <v>136</v>
      </c>
      <c r="C5" s="8" t="n">
        <v>1616</v>
      </c>
      <c r="D5" s="28" t="n">
        <f aca="false">C5</f>
        <v>1616</v>
      </c>
      <c r="E5" s="28" t="n">
        <f aca="false">D5*50</f>
        <v>80800</v>
      </c>
      <c r="F5" s="28" t="n">
        <f aca="false">D5*200</f>
        <v>323200</v>
      </c>
    </row>
    <row r="6" customFormat="false" ht="15.75" hidden="false" customHeight="true" outlineLevel="0" collapsed="false">
      <c r="A6" s="22" t="s">
        <v>137</v>
      </c>
      <c r="B6" s="22" t="s">
        <v>138</v>
      </c>
      <c r="C6" s="8" t="n">
        <v>9000</v>
      </c>
      <c r="D6" s="28" t="n">
        <f aca="false">C6</f>
        <v>9000</v>
      </c>
      <c r="E6" s="28" t="n">
        <f aca="false">D6*50</f>
        <v>450000</v>
      </c>
      <c r="F6" s="28" t="n">
        <f aca="false">D6*200</f>
        <v>1800000</v>
      </c>
    </row>
    <row r="7" customFormat="false" ht="15.75" hidden="false" customHeight="true" outlineLevel="0" collapsed="false">
      <c r="A7" s="22" t="s">
        <v>139</v>
      </c>
      <c r="B7" s="22" t="s">
        <v>140</v>
      </c>
      <c r="C7" s="8" t="n">
        <v>4500</v>
      </c>
      <c r="D7" s="28" t="n">
        <f aca="false">C7</f>
        <v>4500</v>
      </c>
      <c r="E7" s="28" t="n">
        <f aca="false">D7*50</f>
        <v>225000</v>
      </c>
      <c r="F7" s="28" t="n">
        <f aca="false">D7*200</f>
        <v>900000</v>
      </c>
    </row>
    <row r="8" customFormat="false" ht="15.75" hidden="false" customHeight="true" outlineLevel="0" collapsed="false">
      <c r="A8" s="22" t="s">
        <v>141</v>
      </c>
      <c r="B8" s="22" t="s">
        <v>142</v>
      </c>
      <c r="C8" s="8" t="n">
        <v>300</v>
      </c>
      <c r="D8" s="28" t="n">
        <f aca="false">C8</f>
        <v>300</v>
      </c>
      <c r="E8" s="28" t="n">
        <f aca="false">D8*50</f>
        <v>15000</v>
      </c>
      <c r="F8" s="28" t="n">
        <f aca="false">D8*200</f>
        <v>60000</v>
      </c>
    </row>
    <row r="9" customFormat="false" ht="15.75" hidden="false" customHeight="true" outlineLevel="0" collapsed="false">
      <c r="A9" s="22" t="s">
        <v>143</v>
      </c>
      <c r="B9" s="22" t="s">
        <v>142</v>
      </c>
      <c r="C9" s="8" t="n">
        <v>200</v>
      </c>
      <c r="D9" s="28" t="n">
        <f aca="false">C9</f>
        <v>200</v>
      </c>
      <c r="E9" s="28" t="n">
        <f aca="false">D9*50</f>
        <v>10000</v>
      </c>
      <c r="F9" s="28" t="n">
        <f aca="false">D9*200</f>
        <v>40000</v>
      </c>
    </row>
    <row r="10" customFormat="false" ht="15.75" hidden="false" customHeight="true" outlineLevel="0" collapsed="false">
      <c r="A10" s="22" t="s">
        <v>144</v>
      </c>
      <c r="B10" s="22" t="s">
        <v>145</v>
      </c>
      <c r="C10" s="8" t="n">
        <v>200</v>
      </c>
      <c r="D10" s="28" t="n">
        <f aca="false">C10</f>
        <v>200</v>
      </c>
      <c r="E10" s="28" t="n">
        <f aca="false">D10*50</f>
        <v>10000</v>
      </c>
      <c r="F10" s="28" t="n">
        <f aca="false">D10*200</f>
        <v>40000</v>
      </c>
    </row>
    <row r="11" customFormat="false" ht="15.75" hidden="false" customHeight="true" outlineLevel="0" collapsed="false">
      <c r="A11" s="22" t="s">
        <v>146</v>
      </c>
      <c r="B11" s="22" t="s">
        <v>147</v>
      </c>
      <c r="C11" s="8" t="n">
        <v>500</v>
      </c>
      <c r="D11" s="28" t="n">
        <f aca="false">C11</f>
        <v>500</v>
      </c>
      <c r="E11" s="28" t="n">
        <f aca="false">D11*50</f>
        <v>25000</v>
      </c>
      <c r="F11" s="28" t="n">
        <f aca="false">D11*200</f>
        <v>100000</v>
      </c>
    </row>
    <row r="12" customFormat="false" ht="18" hidden="false" customHeight="true" outlineLevel="0" collapsed="false">
      <c r="A12" s="42" t="s">
        <v>148</v>
      </c>
      <c r="B12" s="42"/>
      <c r="C12" s="14" t="n">
        <v>11836</v>
      </c>
      <c r="D12" s="14" t="n">
        <f aca="false">C12</f>
        <v>11836</v>
      </c>
      <c r="E12" s="14" t="n">
        <f aca="false">D12*50</f>
        <v>591800</v>
      </c>
      <c r="F12" s="14" t="n">
        <f aca="false">D12*200</f>
        <v>2367200</v>
      </c>
    </row>
    <row r="14" customFormat="false" ht="18" hidden="false" customHeight="true" outlineLevel="0" collapsed="false">
      <c r="A14" s="41" t="s">
        <v>149</v>
      </c>
      <c r="B14" s="41"/>
      <c r="C14" s="41"/>
      <c r="D14" s="41"/>
      <c r="E14" s="41"/>
      <c r="F14" s="41"/>
    </row>
    <row r="15" customFormat="false" ht="15.75" hidden="false" customHeight="true" outlineLevel="0" collapsed="false">
      <c r="A15" s="22" t="s">
        <v>150</v>
      </c>
      <c r="B15" s="22" t="s">
        <v>151</v>
      </c>
      <c r="C15" s="8" t="n">
        <v>300000</v>
      </c>
      <c r="D15" s="28" t="n">
        <v>300000</v>
      </c>
      <c r="E15" s="28" t="n">
        <v>300000</v>
      </c>
      <c r="F15" s="28" t="n">
        <v>300000</v>
      </c>
    </row>
    <row r="16" customFormat="false" ht="15.75" hidden="false" customHeight="true" outlineLevel="0" collapsed="false">
      <c r="A16" s="22" t="s">
        <v>152</v>
      </c>
      <c r="B16" s="22" t="s">
        <v>151</v>
      </c>
      <c r="C16" s="8" t="n">
        <v>150000</v>
      </c>
      <c r="D16" s="28" t="n">
        <v>150000</v>
      </c>
      <c r="E16" s="28" t="n">
        <v>150000</v>
      </c>
      <c r="F16" s="28" t="n">
        <v>150000</v>
      </c>
    </row>
    <row r="17" customFormat="false" ht="15.75" hidden="false" customHeight="true" outlineLevel="0" collapsed="false">
      <c r="A17" s="22" t="s">
        <v>153</v>
      </c>
      <c r="B17" s="22" t="s">
        <v>154</v>
      </c>
      <c r="C17" s="8" t="n">
        <v>50000</v>
      </c>
      <c r="D17" s="28" t="n">
        <v>50000</v>
      </c>
      <c r="E17" s="28" t="n">
        <v>50000</v>
      </c>
      <c r="F17" s="28" t="n">
        <v>50000</v>
      </c>
    </row>
    <row r="18" customFormat="false" ht="15.75" hidden="false" customHeight="true" outlineLevel="0" collapsed="false">
      <c r="A18" s="22" t="s">
        <v>155</v>
      </c>
      <c r="B18" s="22" t="s">
        <v>156</v>
      </c>
      <c r="C18" s="8" t="n">
        <v>75000</v>
      </c>
      <c r="D18" s="28" t="n">
        <v>75000</v>
      </c>
      <c r="E18" s="28" t="n">
        <v>75000</v>
      </c>
      <c r="F18" s="28" t="n">
        <v>75000</v>
      </c>
    </row>
    <row r="19" customFormat="false" ht="15.75" hidden="false" customHeight="true" outlineLevel="0" collapsed="false">
      <c r="A19" s="22" t="s">
        <v>157</v>
      </c>
      <c r="B19" s="22" t="s">
        <v>158</v>
      </c>
      <c r="C19" s="8" t="n">
        <v>25000</v>
      </c>
      <c r="D19" s="28" t="n">
        <v>25000</v>
      </c>
      <c r="E19" s="28" t="n">
        <v>25000</v>
      </c>
      <c r="F19" s="28" t="n">
        <v>25000</v>
      </c>
    </row>
    <row r="20" customFormat="false" ht="15.75" hidden="false" customHeight="true" outlineLevel="0" collapsed="false">
      <c r="A20" s="22" t="s">
        <v>159</v>
      </c>
      <c r="B20" s="22" t="s">
        <v>160</v>
      </c>
      <c r="C20" s="8" t="n">
        <v>25000</v>
      </c>
      <c r="D20" s="28" t="n">
        <v>25000</v>
      </c>
      <c r="E20" s="28" t="n">
        <v>25000</v>
      </c>
      <c r="F20" s="28" t="n">
        <v>25000</v>
      </c>
    </row>
    <row r="21" customFormat="false" ht="18" hidden="false" customHeight="true" outlineLevel="0" collapsed="false">
      <c r="A21" s="42" t="s">
        <v>161</v>
      </c>
      <c r="B21" s="42"/>
      <c r="C21" s="14" t="n">
        <f aca="false">SUM(C15:C20)</f>
        <v>625000</v>
      </c>
      <c r="D21" s="14" t="n">
        <f aca="false">SUM(C15:C20)</f>
        <v>625000</v>
      </c>
      <c r="E21" s="14" t="n">
        <f aca="false">SUM(C15:C20)</f>
        <v>625000</v>
      </c>
      <c r="F21" s="14" t="n">
        <f aca="false">SUM(C15:C20)</f>
        <v>625000</v>
      </c>
    </row>
    <row r="23" customFormat="false" ht="18" hidden="false" customHeight="true" outlineLevel="0" collapsed="false">
      <c r="A23" s="6" t="s">
        <v>162</v>
      </c>
      <c r="B23" s="6"/>
      <c r="C23" s="6"/>
      <c r="D23" s="6"/>
      <c r="E23" s="6"/>
      <c r="F23" s="6"/>
    </row>
    <row r="24" customFormat="false" ht="15.75" hidden="false" customHeight="true" outlineLevel="0" collapsed="false">
      <c r="A24" s="7" t="s">
        <v>163</v>
      </c>
      <c r="B24" s="7"/>
      <c r="C24" s="43" t="n">
        <f aca="false">Assumptions!B4</f>
        <v>0</v>
      </c>
    </row>
    <row r="25" customFormat="false" ht="15.75" hidden="false" customHeight="true" outlineLevel="0" collapsed="false">
      <c r="A25" s="7" t="s">
        <v>164</v>
      </c>
      <c r="B25" s="7"/>
      <c r="C25" s="43" t="n">
        <f aca="false">C12</f>
        <v>11836</v>
      </c>
    </row>
    <row r="26" customFormat="false" ht="15.75" hidden="false" customHeight="true" outlineLevel="0" collapsed="false">
      <c r="A26" s="7" t="s">
        <v>165</v>
      </c>
      <c r="B26" s="7"/>
      <c r="C26" s="43" t="n">
        <f aca="false">C24-C25</f>
        <v>-11836</v>
      </c>
    </row>
    <row r="27" customFormat="false" ht="15.75" hidden="false" customHeight="true" outlineLevel="0" collapsed="false">
      <c r="A27" s="7" t="s">
        <v>166</v>
      </c>
      <c r="B27" s="7"/>
      <c r="C27" s="43" t="n">
        <f aca="false">C21</f>
        <v>625000</v>
      </c>
    </row>
    <row r="28" customFormat="false" ht="15.75" hidden="false" customHeight="true" outlineLevel="0" collapsed="false">
      <c r="A28" s="13" t="s">
        <v>167</v>
      </c>
      <c r="B28" s="13"/>
      <c r="C28" s="14" t="n">
        <f aca="false">CEILING(C27/C26,1)</f>
        <v>-52</v>
      </c>
    </row>
    <row r="29" customFormat="false" ht="15.75" hidden="false" customHeight="true" outlineLevel="0" collapsed="false">
      <c r="A29" s="7" t="s">
        <v>168</v>
      </c>
      <c r="B29" s="7"/>
      <c r="C29" s="43" t="n">
        <f aca="false">C24*C28</f>
        <v>-0</v>
      </c>
    </row>
  </sheetData>
  <mergeCells count="12">
    <mergeCell ref="A1:F1"/>
    <mergeCell ref="A3:F3"/>
    <mergeCell ref="A12:B12"/>
    <mergeCell ref="A14:F14"/>
    <mergeCell ref="A21:B21"/>
    <mergeCell ref="A23:F23"/>
    <mergeCell ref="A24:B24"/>
    <mergeCell ref="A25:B25"/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4"/>
  </cols>
  <sheetData>
    <row r="1" customFormat="false" ht="27.75" hidden="false" customHeight="true" outlineLevel="0" collapsed="false">
      <c r="A1" s="18" t="s">
        <v>169</v>
      </c>
      <c r="B1" s="18"/>
      <c r="C1" s="18"/>
      <c r="D1" s="18"/>
      <c r="E1" s="18"/>
      <c r="F1" s="18"/>
      <c r="G1" s="18"/>
      <c r="H1" s="18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41" t="s">
        <v>171</v>
      </c>
      <c r="B4" s="41"/>
      <c r="C4" s="41"/>
      <c r="D4" s="41"/>
      <c r="E4" s="41"/>
      <c r="F4" s="41"/>
      <c r="G4" s="41"/>
      <c r="H4" s="41"/>
    </row>
    <row r="5" customFormat="false" ht="15" hidden="false" customHeight="false" outlineLevel="0" collapsed="false">
      <c r="A5" s="44" t="s">
        <v>172</v>
      </c>
      <c r="B5" s="45" t="s">
        <v>30</v>
      </c>
      <c r="C5" s="45" t="s">
        <v>27</v>
      </c>
      <c r="D5" s="45" t="s">
        <v>173</v>
      </c>
      <c r="E5" s="45" t="s">
        <v>174</v>
      </c>
      <c r="F5" s="45" t="s">
        <v>175</v>
      </c>
    </row>
    <row r="6" customFormat="false" ht="15" hidden="false" customHeight="false" outlineLevel="0" collapsed="false">
      <c r="A6" s="45" t="s">
        <v>27</v>
      </c>
      <c r="B6" s="46" t="n">
        <v>87515</v>
      </c>
      <c r="C6" s="46" t="n">
        <v>62500</v>
      </c>
      <c r="D6" s="46" t="n">
        <v>44333</v>
      </c>
      <c r="E6" s="46" t="n">
        <v>26133</v>
      </c>
      <c r="F6" s="46" t="n">
        <v>18201</v>
      </c>
    </row>
    <row r="7" customFormat="false" ht="15" hidden="false" customHeight="false" outlineLevel="0" collapsed="false">
      <c r="A7" s="45" t="s">
        <v>24</v>
      </c>
      <c r="B7" s="46" t="n">
        <v>143251</v>
      </c>
      <c r="C7" s="46" t="n">
        <v>103303</v>
      </c>
      <c r="D7" s="46" t="n">
        <v>74019</v>
      </c>
      <c r="E7" s="46" t="n">
        <v>44333</v>
      </c>
      <c r="F7" s="46" t="n">
        <v>31224</v>
      </c>
    </row>
    <row r="8" customFormat="false" ht="15" hidden="false" customHeight="false" outlineLevel="0" collapsed="false">
      <c r="A8" s="45" t="s">
        <v>175</v>
      </c>
      <c r="B8" s="46" t="n">
        <v>270477</v>
      </c>
      <c r="C8" s="46" t="n">
        <v>197426</v>
      </c>
      <c r="D8" s="46" t="n">
        <v>143251</v>
      </c>
      <c r="E8" s="46" t="n">
        <v>87515</v>
      </c>
      <c r="F8" s="46" t="n">
        <v>62500</v>
      </c>
    </row>
    <row r="9" customFormat="false" ht="15" hidden="false" customHeight="false" outlineLevel="0" collapsed="false">
      <c r="A9" s="45" t="s">
        <v>35</v>
      </c>
      <c r="B9" s="46" t="n">
        <v>429128</v>
      </c>
      <c r="C9" s="46" t="n">
        <v>315904</v>
      </c>
      <c r="D9" s="46" t="n">
        <v>231251</v>
      </c>
      <c r="E9" s="46" t="n">
        <v>143251</v>
      </c>
      <c r="F9" s="46" t="n">
        <v>103303</v>
      </c>
    </row>
    <row r="10" customFormat="false" ht="15" hidden="false" customHeight="false" outlineLevel="0" collapsed="false">
      <c r="A10" s="45" t="s">
        <v>176</v>
      </c>
      <c r="B10" s="47" t="n">
        <v>672579</v>
      </c>
      <c r="C10" s="46" t="n">
        <v>499130</v>
      </c>
      <c r="D10" s="46" t="n">
        <v>368443</v>
      </c>
      <c r="E10" s="46" t="n">
        <v>231251</v>
      </c>
      <c r="F10" s="46" t="n">
        <v>168298</v>
      </c>
    </row>
    <row r="11" customFormat="false" ht="15" hidden="false" customHeight="false" outlineLevel="0" collapsed="false">
      <c r="A11" s="45" t="s">
        <v>38</v>
      </c>
      <c r="B11" s="47" t="n">
        <v>1202758</v>
      </c>
      <c r="C11" s="47" t="n">
        <v>901653</v>
      </c>
      <c r="D11" s="47" t="n">
        <v>672579</v>
      </c>
      <c r="E11" s="46" t="n">
        <v>429128</v>
      </c>
      <c r="F11" s="46" t="n">
        <v>315904</v>
      </c>
    </row>
    <row r="12" customFormat="false" ht="15" hidden="false" customHeight="false" outlineLevel="0" collapsed="false">
      <c r="A12" s="45" t="s">
        <v>177</v>
      </c>
      <c r="B12" s="47" t="n">
        <v>1836526</v>
      </c>
      <c r="C12" s="47" t="n">
        <v>1386632</v>
      </c>
      <c r="D12" s="47" t="n">
        <v>1042015</v>
      </c>
      <c r="E12" s="47" t="n">
        <v>672579</v>
      </c>
      <c r="F12" s="46" t="n">
        <v>499130</v>
      </c>
    </row>
    <row r="15" customFormat="false" ht="18" hidden="false" customHeight="true" outlineLevel="0" collapsed="false">
      <c r="A15" s="41" t="s">
        <v>178</v>
      </c>
      <c r="B15" s="41"/>
      <c r="C15" s="41"/>
      <c r="D15" s="41"/>
      <c r="E15" s="41"/>
      <c r="F15" s="41"/>
      <c r="G15" s="41"/>
      <c r="H15" s="41"/>
    </row>
    <row r="16" customFormat="false" ht="15" hidden="false" customHeight="false" outlineLevel="0" collapsed="false">
      <c r="A16" s="44" t="s">
        <v>179</v>
      </c>
      <c r="B16" s="45" t="n">
        <v>3</v>
      </c>
      <c r="C16" s="45" t="n">
        <v>5</v>
      </c>
      <c r="D16" s="45" t="n">
        <v>8</v>
      </c>
      <c r="E16" s="45" t="n">
        <v>12</v>
      </c>
      <c r="F16" s="45" t="n">
        <v>15</v>
      </c>
      <c r="G16" s="45" t="n">
        <v>20</v>
      </c>
    </row>
    <row r="17" customFormat="false" ht="15" hidden="false" customHeight="false" outlineLevel="0" collapsed="false">
      <c r="A17" s="45" t="s">
        <v>180</v>
      </c>
      <c r="B17" s="48" t="s">
        <v>181</v>
      </c>
      <c r="C17" s="48" t="s">
        <v>181</v>
      </c>
      <c r="D17" s="48" t="s">
        <v>181</v>
      </c>
      <c r="E17" s="48" t="s">
        <v>181</v>
      </c>
      <c r="F17" s="48" t="s">
        <v>181</v>
      </c>
      <c r="G17" s="48" t="s">
        <v>181</v>
      </c>
    </row>
    <row r="18" customFormat="false" ht="15" hidden="false" customHeight="false" outlineLevel="0" collapsed="false">
      <c r="A18" s="45" t="s">
        <v>182</v>
      </c>
      <c r="B18" s="48" t="s">
        <v>181</v>
      </c>
      <c r="C18" s="48" t="s">
        <v>181</v>
      </c>
      <c r="D18" s="48" t="s">
        <v>181</v>
      </c>
      <c r="E18" s="48" t="s">
        <v>181</v>
      </c>
      <c r="F18" s="48" t="s">
        <v>181</v>
      </c>
      <c r="G18" s="48" t="s">
        <v>181</v>
      </c>
    </row>
    <row r="19" customFormat="false" ht="15" hidden="false" customHeight="false" outlineLevel="0" collapsed="false">
      <c r="A19" s="45" t="s">
        <v>183</v>
      </c>
      <c r="B19" s="48" t="s">
        <v>181</v>
      </c>
      <c r="C19" s="48" t="s">
        <v>181</v>
      </c>
      <c r="D19" s="48" t="s">
        <v>181</v>
      </c>
      <c r="E19" s="48" t="n">
        <v>33</v>
      </c>
      <c r="F19" s="48" t="n">
        <v>30</v>
      </c>
      <c r="G19" s="48" t="n">
        <v>27</v>
      </c>
    </row>
    <row r="20" customFormat="false" ht="15" hidden="false" customHeight="false" outlineLevel="0" collapsed="false">
      <c r="A20" s="45" t="s">
        <v>184</v>
      </c>
      <c r="B20" s="48" t="s">
        <v>181</v>
      </c>
      <c r="C20" s="48" t="n">
        <v>33</v>
      </c>
      <c r="D20" s="48" t="n">
        <v>29</v>
      </c>
      <c r="E20" s="48" t="n">
        <v>26</v>
      </c>
      <c r="F20" s="48" t="n">
        <v>24</v>
      </c>
      <c r="G20" s="48" t="n">
        <v>22</v>
      </c>
    </row>
    <row r="21" customFormat="false" ht="15" hidden="false" customHeight="false" outlineLevel="0" collapsed="false">
      <c r="A21" s="45" t="s">
        <v>185</v>
      </c>
      <c r="B21" s="48" t="n">
        <v>29</v>
      </c>
      <c r="C21" s="48" t="n">
        <v>26</v>
      </c>
      <c r="D21" s="48" t="n">
        <v>23</v>
      </c>
      <c r="E21" s="48" t="n">
        <v>20</v>
      </c>
      <c r="F21" s="48" t="n">
        <v>19</v>
      </c>
      <c r="G21" s="48" t="n">
        <v>17</v>
      </c>
    </row>
    <row r="22" customFormat="false" ht="15" hidden="false" customHeight="false" outlineLevel="0" collapsed="false">
      <c r="A22" s="45" t="s">
        <v>186</v>
      </c>
      <c r="B22" s="48" t="n">
        <v>25</v>
      </c>
      <c r="C22" s="48" t="n">
        <v>23</v>
      </c>
      <c r="D22" s="48" t="n">
        <v>20</v>
      </c>
      <c r="E22" s="48" t="n">
        <v>18</v>
      </c>
      <c r="F22" s="48" t="n">
        <v>17</v>
      </c>
      <c r="G22" s="48" t="n">
        <v>15</v>
      </c>
    </row>
    <row r="23" customFormat="false" ht="15" hidden="false" customHeight="false" outlineLevel="0" collapsed="false">
      <c r="A23" s="45" t="s">
        <v>187</v>
      </c>
      <c r="B23" s="48" t="n">
        <v>21</v>
      </c>
      <c r="C23" s="48" t="n">
        <v>19</v>
      </c>
      <c r="D23" s="48" t="n">
        <v>17</v>
      </c>
      <c r="E23" s="48" t="n">
        <v>15</v>
      </c>
      <c r="F23" s="48" t="n">
        <v>14</v>
      </c>
      <c r="G23" s="48" t="n">
        <v>13</v>
      </c>
    </row>
    <row r="26" customFormat="false" ht="18" hidden="false" customHeight="true" outlineLevel="0" collapsed="false">
      <c r="A26" s="42" t="s">
        <v>188</v>
      </c>
      <c r="B26" s="42"/>
      <c r="C26" s="42"/>
      <c r="D26" s="42"/>
    </row>
    <row r="27" customFormat="false" ht="15" hidden="false" customHeight="false" outlineLevel="0" collapsed="false">
      <c r="A27" s="49" t="s">
        <v>189</v>
      </c>
      <c r="B27" s="49"/>
      <c r="C27" s="49"/>
      <c r="D27" s="49"/>
    </row>
    <row r="28" customFormat="false" ht="15" hidden="false" customHeight="false" outlineLevel="0" collapsed="false">
      <c r="A28" s="50" t="s">
        <v>190</v>
      </c>
      <c r="B28" s="50"/>
      <c r="C28" s="50"/>
      <c r="D28" s="50"/>
    </row>
    <row r="29" customFormat="false" ht="15" hidden="false" customHeight="false" outlineLevel="0" collapsed="false">
      <c r="A29" s="51" t="s">
        <v>191</v>
      </c>
      <c r="B29" s="51"/>
      <c r="C29" s="51"/>
      <c r="D29" s="51"/>
    </row>
  </sheetData>
  <mergeCells count="8">
    <mergeCell ref="A1:H1"/>
    <mergeCell ref="A2:H2"/>
    <mergeCell ref="A4:H4"/>
    <mergeCell ref="A15:H1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18" t="s">
        <v>192</v>
      </c>
      <c r="B1" s="18"/>
      <c r="C1" s="18"/>
    </row>
    <row r="3" customFormat="false" ht="18" hidden="false" customHeight="true" outlineLevel="0" collapsed="false">
      <c r="A3" s="6" t="s">
        <v>193</v>
      </c>
      <c r="B3" s="6"/>
      <c r="C3" s="6"/>
    </row>
    <row r="4" customFormat="false" ht="15.75" hidden="false" customHeight="true" outlineLevel="0" collapsed="false">
      <c r="A4" s="7" t="s">
        <v>194</v>
      </c>
      <c r="B4" s="31" t="n">
        <v>10000</v>
      </c>
      <c r="C4" s="52" t="s">
        <v>195</v>
      </c>
    </row>
    <row r="5" customFormat="false" ht="15.75" hidden="false" customHeight="true" outlineLevel="0" collapsed="false">
      <c r="A5" s="7" t="s">
        <v>196</v>
      </c>
      <c r="B5" s="31" t="n">
        <v>15000</v>
      </c>
      <c r="C5" s="52" t="s">
        <v>195</v>
      </c>
    </row>
    <row r="6" customFormat="false" ht="15.75" hidden="false" customHeight="true" outlineLevel="0" collapsed="false">
      <c r="A6" s="7" t="s">
        <v>197</v>
      </c>
      <c r="B6" s="31" t="n">
        <v>25000</v>
      </c>
      <c r="C6" s="52" t="s">
        <v>195</v>
      </c>
    </row>
    <row r="7" customFormat="false" ht="15.75" hidden="false" customHeight="true" outlineLevel="0" collapsed="false">
      <c r="A7" s="7" t="s">
        <v>198</v>
      </c>
      <c r="B7" s="31" t="n">
        <v>12500</v>
      </c>
      <c r="C7" s="52" t="s">
        <v>199</v>
      </c>
    </row>
    <row r="8" customFormat="false" ht="15.75" hidden="false" customHeight="true" outlineLevel="0" collapsed="false">
      <c r="A8" s="7" t="s">
        <v>200</v>
      </c>
      <c r="B8" s="31" t="n">
        <v>150000</v>
      </c>
      <c r="C8" s="52" t="n">
        <f aca="false">B7*12</f>
        <v>150000</v>
      </c>
    </row>
    <row r="10" customFormat="false" ht="18" hidden="false" customHeight="true" outlineLevel="0" collapsed="false">
      <c r="A10" s="6" t="s">
        <v>201</v>
      </c>
      <c r="B10" s="6"/>
      <c r="C10" s="6"/>
    </row>
    <row r="11" customFormat="false" ht="15.75" hidden="false" customHeight="true" outlineLevel="0" collapsed="false">
      <c r="A11" s="7" t="s">
        <v>202</v>
      </c>
      <c r="B11" s="31" t="n">
        <v>11836</v>
      </c>
      <c r="C11" s="52" t="s">
        <v>203</v>
      </c>
    </row>
    <row r="12" customFormat="false" ht="15.75" hidden="false" customHeight="true" outlineLevel="0" collapsed="false">
      <c r="A12" s="7" t="s">
        <v>204</v>
      </c>
      <c r="B12" s="31" t="n">
        <v>7136</v>
      </c>
      <c r="C12" s="52" t="s">
        <v>205</v>
      </c>
    </row>
    <row r="13" customFormat="false" ht="15.75" hidden="false" customHeight="true" outlineLevel="0" collapsed="false">
      <c r="A13" s="7" t="s">
        <v>54</v>
      </c>
      <c r="B13" s="53" t="s">
        <v>55</v>
      </c>
      <c r="C13" s="52" t="s">
        <v>206</v>
      </c>
    </row>
    <row r="14" customFormat="false" ht="15.75" hidden="false" customHeight="true" outlineLevel="0" collapsed="false">
      <c r="A14" s="7" t="s">
        <v>207</v>
      </c>
      <c r="B14" s="53" t="s">
        <v>208</v>
      </c>
      <c r="C14" s="52" t="s">
        <v>209</v>
      </c>
    </row>
    <row r="15" customFormat="false" ht="15.75" hidden="false" customHeight="true" outlineLevel="0" collapsed="false">
      <c r="A15" s="7" t="s">
        <v>210</v>
      </c>
      <c r="B15" s="53" t="s">
        <v>211</v>
      </c>
      <c r="C15" s="52" t="s">
        <v>212</v>
      </c>
    </row>
    <row r="17" customFormat="false" ht="18" hidden="false" customHeight="true" outlineLevel="0" collapsed="false">
      <c r="A17" s="6" t="s">
        <v>213</v>
      </c>
      <c r="B17" s="6"/>
      <c r="C17" s="6"/>
    </row>
    <row r="18" customFormat="false" ht="15.75" hidden="false" customHeight="true" outlineLevel="0" collapsed="false">
      <c r="A18" s="7" t="s">
        <v>78</v>
      </c>
      <c r="B18" s="54" t="n">
        <v>18</v>
      </c>
      <c r="C18" s="52" t="s">
        <v>214</v>
      </c>
    </row>
    <row r="19" customFormat="false" ht="15.75" hidden="false" customHeight="true" outlineLevel="0" collapsed="false">
      <c r="A19" s="7" t="s">
        <v>80</v>
      </c>
      <c r="B19" s="31" t="n">
        <v>225000</v>
      </c>
      <c r="C19" s="52" t="s">
        <v>215</v>
      </c>
    </row>
    <row r="20" customFormat="false" ht="15.75" hidden="false" customHeight="true" outlineLevel="0" collapsed="false">
      <c r="A20" s="7" t="s">
        <v>216</v>
      </c>
      <c r="B20" s="31" t="n">
        <v>375000</v>
      </c>
      <c r="C20" s="52" t="s">
        <v>217</v>
      </c>
    </row>
    <row r="21" customFormat="false" ht="15.75" hidden="false" customHeight="true" outlineLevel="0" collapsed="false">
      <c r="A21" s="7" t="s">
        <v>82</v>
      </c>
      <c r="B21" s="31" t="n">
        <v>70000</v>
      </c>
      <c r="C21" s="52" t="s">
        <v>218</v>
      </c>
    </row>
    <row r="22" customFormat="false" ht="15.75" hidden="false" customHeight="true" outlineLevel="0" collapsed="false">
      <c r="A22" s="7" t="s">
        <v>219</v>
      </c>
      <c r="B22" s="55" t="s">
        <v>85</v>
      </c>
      <c r="C22" s="52" t="s">
        <v>220</v>
      </c>
    </row>
    <row r="23" customFormat="false" ht="15.75" hidden="false" customHeight="true" outlineLevel="0" collapsed="false">
      <c r="A23" s="7" t="s">
        <v>221</v>
      </c>
      <c r="B23" s="55" t="s">
        <v>222</v>
      </c>
      <c r="C23" s="52" t="s">
        <v>223</v>
      </c>
    </row>
    <row r="24" customFormat="false" ht="15.75" hidden="false" customHeight="true" outlineLevel="0" collapsed="false">
      <c r="A24" s="7" t="s">
        <v>87</v>
      </c>
      <c r="B24" s="56" t="n">
        <v>5.6</v>
      </c>
      <c r="C24" s="52" t="s">
        <v>224</v>
      </c>
    </row>
    <row r="25" customFormat="false" ht="15.75" hidden="false" customHeight="true" outlineLevel="0" collapsed="false">
      <c r="A25" s="7" t="s">
        <v>225</v>
      </c>
      <c r="B25" s="53" t="s">
        <v>226</v>
      </c>
      <c r="C25" s="52" t="s">
        <v>227</v>
      </c>
    </row>
    <row r="26" customFormat="false" ht="15.75" hidden="false" customHeight="true" outlineLevel="0" collapsed="false">
      <c r="A26" s="7" t="s">
        <v>228</v>
      </c>
      <c r="B26" s="53" t="s">
        <v>229</v>
      </c>
      <c r="C26" s="52" t="s">
        <v>230</v>
      </c>
    </row>
    <row r="28" customFormat="false" ht="18" hidden="false" customHeight="true" outlineLevel="0" collapsed="false">
      <c r="A28" s="6" t="s">
        <v>231</v>
      </c>
      <c r="B28" s="6"/>
      <c r="C28" s="6"/>
    </row>
    <row r="29" customFormat="false" ht="15.75" hidden="false" customHeight="true" outlineLevel="0" collapsed="false">
      <c r="A29" s="7" t="s">
        <v>232</v>
      </c>
      <c r="B29" s="31" t="n">
        <v>625000</v>
      </c>
      <c r="C29" s="52" t="s">
        <v>233</v>
      </c>
    </row>
    <row r="30" customFormat="false" ht="15.75" hidden="false" customHeight="true" outlineLevel="0" collapsed="false">
      <c r="A30" s="7" t="s">
        <v>234</v>
      </c>
      <c r="B30" s="54" t="n">
        <v>664</v>
      </c>
      <c r="C30" s="52" t="s">
        <v>235</v>
      </c>
    </row>
    <row r="31" customFormat="false" ht="15.75" hidden="false" customHeight="true" outlineLevel="0" collapsed="false">
      <c r="A31" s="7" t="s">
        <v>236</v>
      </c>
      <c r="B31" s="54" t="n">
        <v>941</v>
      </c>
      <c r="C31" s="52" t="s">
        <v>237</v>
      </c>
    </row>
    <row r="32" customFormat="false" ht="15.75" hidden="false" customHeight="true" outlineLevel="0" collapsed="false">
      <c r="A32" s="7" t="s">
        <v>238</v>
      </c>
      <c r="B32" s="31" t="n">
        <v>5364</v>
      </c>
      <c r="C32" s="52" t="s">
        <v>239</v>
      </c>
    </row>
    <row r="33" customFormat="false" ht="15.75" hidden="false" customHeight="true" outlineLevel="0" collapsed="false">
      <c r="A33" s="7" t="s">
        <v>240</v>
      </c>
      <c r="B33" s="54" t="n">
        <v>117</v>
      </c>
      <c r="C33" s="52" t="s">
        <v>241</v>
      </c>
    </row>
    <row r="34" customFormat="false" ht="15.75" hidden="false" customHeight="true" outlineLevel="0" collapsed="false">
      <c r="A34" s="7" t="s">
        <v>242</v>
      </c>
      <c r="B34" s="31" t="n">
        <v>1462500</v>
      </c>
      <c r="C34" s="52" t="s">
        <v>243</v>
      </c>
    </row>
  </sheetData>
  <mergeCells count="5">
    <mergeCell ref="A1:C1"/>
    <mergeCell ref="A3:C3"/>
    <mergeCell ref="A10:C10"/>
    <mergeCell ref="A17:C1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2026-05-19T01:23:38Z</dcterms:created>
  <dc:creator>openpyxl</dc:creator>
  <dc:description/>
  <dc:language>en-US</dc:language>
  <cp:lastModifiedBy/>
  <dcterms:modified xsi:type="dcterms:W3CDTF">2026-05-19T01:23:39Z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